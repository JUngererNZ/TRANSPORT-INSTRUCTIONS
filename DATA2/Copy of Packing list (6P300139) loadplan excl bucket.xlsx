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-my.sharepoint.com/personal/jason_fml-freight-solutions_com/Documents/Desktop/TRANSPORT-INSTRUCTIONS-CAT-6030/"/>
    </mc:Choice>
  </mc:AlternateContent>
  <xr:revisionPtr revIDLastSave="62" documentId="8_{550379E4-7ED1-470F-93AB-3F7AD9604ABB}" xr6:coauthVersionLast="47" xr6:coauthVersionMax="47" xr10:uidLastSave="{B68EADCF-4255-4270-B4F0-C2B4DBC5C6AB}"/>
  <bookViews>
    <workbookView xWindow="-23148" yWindow="-108" windowWidth="23256" windowHeight="12456" xr2:uid="{E75C0624-302D-4C94-A6DE-235E44134DE5}"/>
  </bookViews>
  <sheets>
    <sheet name="6P300139" sheetId="3" r:id="rId1"/>
    <sheet name="LO." sheetId="5" state="hidden" r:id="rId2"/>
    <sheet name="Configuration" sheetId="2" r:id="rId3"/>
    <sheet name="Sheet1" sheetId="6" r:id="rId4"/>
  </sheets>
  <definedNames>
    <definedName name="_xlnm._FilterDatabase" localSheetId="0" hidden="1">'6P300139'!$A$10:$IW$10</definedName>
    <definedName name="_xlnm._FilterDatabase" localSheetId="1" hidden="1">LO.!$A$10:$IV$41</definedName>
    <definedName name="_xlnm.Print_Area" localSheetId="0">'6P300139'!$A$1:$M$42</definedName>
    <definedName name="_xlnm.Print_Area" localSheetId="2">Configuration!$A$1:$I$71</definedName>
    <definedName name="_xlnm.Print_Area" localSheetId="1">LO.!$A$1:$N$41</definedName>
    <definedName name="_xlnm.Print_Area" localSheetId="3">Sheet1!$A$1:$I$38</definedName>
    <definedName name="_xlnm.Print_Titles" localSheetId="0">'6P300139'!$1:$10</definedName>
    <definedName name="_xlnm.Print_Titles" localSheetId="1">LO.!$1:$10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3" l="1"/>
  <c r="M42" i="3"/>
  <c r="L42" i="3"/>
  <c r="Q17" i="3"/>
  <c r="Q30" i="3"/>
  <c r="Q31" i="3" l="1"/>
  <c r="Q22" i="3"/>
  <c r="Q29" i="3"/>
  <c r="Q33" i="3"/>
  <c r="M41" i="5" l="1"/>
  <c r="L41" i="5"/>
  <c r="P40" i="5"/>
  <c r="O40" i="5"/>
  <c r="N40" i="5" s="1"/>
  <c r="P39" i="5"/>
  <c r="O39" i="5"/>
  <c r="N39" i="5"/>
  <c r="P38" i="5"/>
  <c r="O38" i="5"/>
  <c r="N38" i="5" s="1"/>
  <c r="P37" i="5"/>
  <c r="O37" i="5"/>
  <c r="N37" i="5" s="1"/>
  <c r="P36" i="5"/>
  <c r="O36" i="5"/>
  <c r="N36" i="5"/>
  <c r="P35" i="5"/>
  <c r="O35" i="5"/>
  <c r="N35" i="5"/>
  <c r="P34" i="5"/>
  <c r="O34" i="5"/>
  <c r="N34" i="5"/>
  <c r="P33" i="5"/>
  <c r="O33" i="5"/>
  <c r="N33" i="5"/>
  <c r="P32" i="5"/>
  <c r="O32" i="5"/>
  <c r="N32" i="5" s="1"/>
  <c r="P31" i="5"/>
  <c r="O31" i="5"/>
  <c r="N31" i="5"/>
  <c r="P30" i="5"/>
  <c r="O30" i="5"/>
  <c r="N30" i="5" s="1"/>
  <c r="P29" i="5"/>
  <c r="O29" i="5"/>
  <c r="N29" i="5" s="1"/>
  <c r="P28" i="5"/>
  <c r="O28" i="5"/>
  <c r="N28" i="5"/>
  <c r="P27" i="5"/>
  <c r="O27" i="5"/>
  <c r="N27" i="5"/>
  <c r="P26" i="5"/>
  <c r="O26" i="5"/>
  <c r="N26" i="5"/>
  <c r="P25" i="5"/>
  <c r="O25" i="5"/>
  <c r="N25" i="5"/>
  <c r="P24" i="5"/>
  <c r="O24" i="5"/>
  <c r="N24" i="5" s="1"/>
  <c r="P23" i="5"/>
  <c r="O23" i="5"/>
  <c r="N23" i="5"/>
  <c r="P22" i="5"/>
  <c r="O22" i="5"/>
  <c r="N22" i="5" s="1"/>
  <c r="P21" i="5"/>
  <c r="O21" i="5"/>
  <c r="N21" i="5" s="1"/>
  <c r="P20" i="5"/>
  <c r="O20" i="5"/>
  <c r="N20" i="5"/>
  <c r="P19" i="5"/>
  <c r="O19" i="5"/>
  <c r="N19" i="5"/>
  <c r="P18" i="5"/>
  <c r="O18" i="5"/>
  <c r="N18" i="5"/>
  <c r="P17" i="5"/>
  <c r="O17" i="5"/>
  <c r="N17" i="5"/>
  <c r="P16" i="5"/>
  <c r="O16" i="5"/>
  <c r="N16" i="5" s="1"/>
  <c r="P15" i="5"/>
  <c r="O15" i="5"/>
  <c r="N15" i="5"/>
  <c r="P14" i="5"/>
  <c r="O14" i="5"/>
  <c r="N14" i="5" s="1"/>
  <c r="P13" i="5"/>
  <c r="O13" i="5"/>
  <c r="N13" i="5" s="1"/>
  <c r="P12" i="5"/>
  <c r="O12" i="5"/>
  <c r="N12" i="5"/>
  <c r="P11" i="5"/>
  <c r="O11" i="5"/>
  <c r="N11" i="5"/>
  <c r="N41" i="5" l="1"/>
  <c r="N8" i="5"/>
  <c r="Q38" i="3" l="1"/>
  <c r="Q41" i="3"/>
  <c r="Q32" i="3"/>
  <c r="Q40" i="3"/>
  <c r="Q27" i="3"/>
  <c r="Q26" i="3"/>
  <c r="Q25" i="3"/>
  <c r="Q24" i="3"/>
  <c r="Q23" i="3"/>
  <c r="Q28" i="3"/>
  <c r="Q39" i="3"/>
  <c r="Q16" i="3"/>
  <c r="Q35" i="3"/>
  <c r="Q19" i="3"/>
  <c r="Q18" i="3"/>
  <c r="Q21" i="3"/>
  <c r="Q20" i="3"/>
  <c r="Q15" i="3"/>
  <c r="Q14" i="3"/>
  <c r="Q13" i="3"/>
  <c r="Q12" i="3"/>
  <c r="Q11" i="3"/>
</calcChain>
</file>

<file path=xl/sharedStrings.xml><?xml version="1.0" encoding="utf-8"?>
<sst xmlns="http://schemas.openxmlformats.org/spreadsheetml/2006/main" count="532" uniqueCount="183">
  <si>
    <t>Export to</t>
  </si>
  <si>
    <t>Model 6030 BH</t>
  </si>
  <si>
    <t>ORDER No</t>
  </si>
  <si>
    <t>Packing List</t>
  </si>
  <si>
    <t>CAT-ID-No.</t>
  </si>
  <si>
    <t xml:space="preserve">MSO. </t>
  </si>
  <si>
    <t>Country of Origin : Indonesia</t>
  </si>
  <si>
    <t>total freight tons:</t>
  </si>
  <si>
    <t>No.</t>
  </si>
  <si>
    <t>Part Number</t>
  </si>
  <si>
    <t>Description</t>
  </si>
  <si>
    <t>Qty</t>
  </si>
  <si>
    <t>Category</t>
  </si>
  <si>
    <t>Packaging Type</t>
  </si>
  <si>
    <t>Dimensions in mm
(L x W x H)</t>
  </si>
  <si>
    <t>Gross Weight (kg)</t>
  </si>
  <si>
    <t>Nett Weight (kg)</t>
  </si>
  <si>
    <t>Freight Ton</t>
  </si>
  <si>
    <t>Non Shiploose</t>
  </si>
  <si>
    <t>Unpacked</t>
  </si>
  <si>
    <t>x</t>
  </si>
  <si>
    <t>Wooden Block + Plywood Cover</t>
  </si>
  <si>
    <t>Riser AR</t>
  </si>
  <si>
    <t>Cooler AR HYD</t>
  </si>
  <si>
    <t>Counterweight AR</t>
  </si>
  <si>
    <t>Wooden Block</t>
  </si>
  <si>
    <t>-</t>
  </si>
  <si>
    <t>Shiploose</t>
  </si>
  <si>
    <t xml:space="preserve">Wooden Box </t>
  </si>
  <si>
    <t>SLEW RING COVER</t>
  </si>
  <si>
    <t>SLEWING GEAR</t>
  </si>
  <si>
    <t>HOSES</t>
  </si>
  <si>
    <t>CABIN</t>
  </si>
  <si>
    <t>EMERGENCY SHUT DOWN</t>
  </si>
  <si>
    <t>CONDENSER</t>
  </si>
  <si>
    <t>GREASE CONTAINER</t>
  </si>
  <si>
    <t>CATWALK</t>
  </si>
  <si>
    <t>HANDRAILS</t>
  </si>
  <si>
    <t>RETRACTABLE LADDER</t>
  </si>
  <si>
    <t>Wooden Pallet</t>
  </si>
  <si>
    <t>EMERGENCY LADDER</t>
  </si>
  <si>
    <t>CATWALK for BOOM</t>
  </si>
  <si>
    <t>BOOM CYLINDER</t>
  </si>
  <si>
    <t>STICK CYLINDER</t>
  </si>
  <si>
    <t>PIN</t>
  </si>
  <si>
    <t>EXHAUST 1</t>
  </si>
  <si>
    <t>EXHAUST 2</t>
  </si>
  <si>
    <t>HARDWARE 1</t>
  </si>
  <si>
    <t>HARDWARE 2</t>
  </si>
  <si>
    <t>GUARD AS</t>
  </si>
  <si>
    <t>Plywood box</t>
  </si>
  <si>
    <t xml:space="preserve">: JORDAN TRACTOR &amp; EQUIPMENT CO </t>
  </si>
  <si>
    <t>: MX24J645</t>
  </si>
  <si>
    <t>: 6P300120</t>
  </si>
  <si>
    <t>: ASPGR</t>
  </si>
  <si>
    <r>
      <t xml:space="preserve">TRACK FRAME with TRACK 1 (RH)
</t>
    </r>
    <r>
      <rPr>
        <b/>
        <sz val="16"/>
        <color theme="1"/>
        <rFont val="Trebuchet MS"/>
        <family val="2"/>
      </rPr>
      <t>SN-01.2024.006</t>
    </r>
  </si>
  <si>
    <t>LO_6030022_M201</t>
  </si>
  <si>
    <r>
      <t xml:space="preserve">TRACK FRAME with TRACK 2 (LH)
</t>
    </r>
    <r>
      <rPr>
        <b/>
        <sz val="16"/>
        <color theme="1"/>
        <rFont val="Trebuchet MS"/>
        <family val="2"/>
      </rPr>
      <t>SN-01.2024.006</t>
    </r>
  </si>
  <si>
    <t>LO_6030023_M201</t>
  </si>
  <si>
    <r>
      <t xml:space="preserve">Car Body AR
</t>
    </r>
    <r>
      <rPr>
        <b/>
        <sz val="16"/>
        <color theme="1"/>
        <rFont val="Trebuchet MS"/>
        <family val="2"/>
      </rPr>
      <t>BSN30-020</t>
    </r>
  </si>
  <si>
    <t>LO_6030024_M201</t>
  </si>
  <si>
    <r>
      <t xml:space="preserve">CHASSIS AR
</t>
    </r>
    <r>
      <rPr>
        <b/>
        <sz val="16"/>
        <color theme="1"/>
        <rFont val="Trebuchet MS"/>
        <family val="2"/>
      </rPr>
      <t>BSN30-020</t>
    </r>
  </si>
  <si>
    <t>LO_6030025_M201</t>
  </si>
  <si>
    <r>
      <t xml:space="preserve">Module AR Power
CAT Engine no </t>
    </r>
    <r>
      <rPr>
        <b/>
        <sz val="16"/>
        <color theme="1"/>
        <rFont val="Trebuchet MS"/>
        <family val="2"/>
      </rPr>
      <t xml:space="preserve">: </t>
    </r>
    <r>
      <rPr>
        <b/>
        <sz val="16"/>
        <color rgb="FFFF0000"/>
        <rFont val="Trebuchet MS"/>
        <family val="2"/>
      </rPr>
      <t xml:space="preserve">
JZP00156</t>
    </r>
    <r>
      <rPr>
        <sz val="16"/>
        <color rgb="FFFF0000"/>
        <rFont val="Trebuchet MS"/>
        <family val="2"/>
      </rPr>
      <t xml:space="preserve"> </t>
    </r>
    <r>
      <rPr>
        <b/>
        <i/>
        <sz val="16"/>
        <color rgb="FFFF0000"/>
        <rFont val="Trebuchet MS"/>
        <family val="2"/>
      </rPr>
      <t>(RH) &amp; JZP00159 (LH)</t>
    </r>
  </si>
  <si>
    <t>LO_6030026_M201</t>
  </si>
  <si>
    <t>LO_6030027_M201</t>
  </si>
  <si>
    <t>LO_6030028_M201</t>
  </si>
  <si>
    <t>LO_6030029_M201</t>
  </si>
  <si>
    <r>
      <t xml:space="preserve">Boom AR
</t>
    </r>
    <r>
      <rPr>
        <b/>
        <sz val="16"/>
        <color theme="1"/>
        <rFont val="Trebuchet MS"/>
        <family val="2"/>
      </rPr>
      <t>BSN30-020</t>
    </r>
  </si>
  <si>
    <t>LO_6030030_M201</t>
  </si>
  <si>
    <r>
      <t xml:space="preserve">STICK AR
</t>
    </r>
    <r>
      <rPr>
        <b/>
        <sz val="16"/>
        <color theme="1"/>
        <rFont val="Trebuchet MS"/>
        <family val="2"/>
      </rPr>
      <t>SN-02.2024.014</t>
    </r>
  </si>
  <si>
    <t>LO_6030031_M201</t>
  </si>
  <si>
    <t>ACCESSORIES</t>
  </si>
  <si>
    <t>LO_6030020_M201</t>
  </si>
  <si>
    <t>BOLTS</t>
  </si>
  <si>
    <t>LO_6030002_M201</t>
  </si>
  <si>
    <t>LO_6030003_M201</t>
  </si>
  <si>
    <t>LO_6030004_M201</t>
  </si>
  <si>
    <t>LO_6030005_M201</t>
  </si>
  <si>
    <t>LO_6030001_M201</t>
  </si>
  <si>
    <t>LO_6030006_M201</t>
  </si>
  <si>
    <t>LO_6030007_M201</t>
  </si>
  <si>
    <t>LO_6030008_M201</t>
  </si>
  <si>
    <t>LO_6030009_M201</t>
  </si>
  <si>
    <t>HANDRAIL - 1</t>
  </si>
  <si>
    <t>LO_6030010_M201</t>
  </si>
  <si>
    <t>HANDRAIL - 2</t>
  </si>
  <si>
    <t>LO_6030011_M201</t>
  </si>
  <si>
    <t>LO_6030012_M201</t>
  </si>
  <si>
    <t>LO_6030013_M201</t>
  </si>
  <si>
    <t>LO_6030014_M201</t>
  </si>
  <si>
    <t>LO_6030015_M201</t>
  </si>
  <si>
    <t>LO_6030016_M201</t>
  </si>
  <si>
    <t>LO_6030019_M201</t>
  </si>
  <si>
    <t>PIN No 1</t>
  </si>
  <si>
    <t>LO_6030017_M201</t>
  </si>
  <si>
    <t>EXHAUST</t>
  </si>
  <si>
    <t>LO_6030018_M201</t>
  </si>
  <si>
    <t>Model</t>
  </si>
  <si>
    <t>Machine SN</t>
  </si>
  <si>
    <t>Order Type</t>
  </si>
  <si>
    <t>MSO#</t>
  </si>
  <si>
    <t>Customer</t>
  </si>
  <si>
    <t>Bucket</t>
  </si>
  <si>
    <t>6030 BH</t>
  </si>
  <si>
    <t>NO BUCKET</t>
  </si>
  <si>
    <t>STRUCTURE</t>
  </si>
  <si>
    <t>TYPE</t>
  </si>
  <si>
    <t>PART NO</t>
  </si>
  <si>
    <t>DESCRIPTION</t>
  </si>
  <si>
    <t>FG/SFG</t>
  </si>
  <si>
    <t>SERIAL NUMBER</t>
  </si>
  <si>
    <t>UNIT NUMBER</t>
  </si>
  <si>
    <t>LOCATION</t>
  </si>
  <si>
    <t>FULL MACHINE</t>
  </si>
  <si>
    <t>PM_6030_6P3</t>
  </si>
  <si>
    <t>HMS 6030 TIER 2 MACHINE</t>
  </si>
  <si>
    <t>FG</t>
  </si>
  <si>
    <t>BOOM</t>
  </si>
  <si>
    <t>BOOM AR (assy 6030) BH</t>
  </si>
  <si>
    <t>STICK</t>
  </si>
  <si>
    <t>STICK AR (assy 6030) BH</t>
  </si>
  <si>
    <t>GATE-2 LANE-2</t>
  </si>
  <si>
    <t>UPPER FRAME</t>
  </si>
  <si>
    <t>CARBODY</t>
  </si>
  <si>
    <t>CARBODY AR (assy 6030)</t>
  </si>
  <si>
    <t>POWER MODULE</t>
  </si>
  <si>
    <t>MODULE AR-POWER (assy 6030) P2</t>
  </si>
  <si>
    <t>CTWT</t>
  </si>
  <si>
    <t>COUNTERWEIGHT (assy 6030)</t>
  </si>
  <si>
    <t>HOC</t>
  </si>
  <si>
    <t>HOC (assy 6030)</t>
  </si>
  <si>
    <t>CAB RIZER</t>
  </si>
  <si>
    <t>CAB RIZER (assy 6030)</t>
  </si>
  <si>
    <t>TRF RH</t>
  </si>
  <si>
    <t>TRF-RH (assy 6030)</t>
  </si>
  <si>
    <t>TRF LH</t>
  </si>
  <si>
    <t>TRF-LH (assy 6030)</t>
  </si>
  <si>
    <t>BS WHARF LANE-2</t>
  </si>
  <si>
    <t>CHASSIS AR  (SF assy 6030) NEW</t>
  </si>
  <si>
    <t>Coo/ K645</t>
  </si>
  <si>
    <t>STATUS</t>
  </si>
  <si>
    <t>BS WHARF LANE-3</t>
  </si>
  <si>
    <t>CONSUME</t>
  </si>
  <si>
    <t>GATE-2 LANE-1</t>
  </si>
  <si>
    <t>BS WHARF LANE-6</t>
  </si>
  <si>
    <t>Engine</t>
  </si>
  <si>
    <t>: 6P300139</t>
  </si>
  <si>
    <r>
      <t xml:space="preserve">TRACK FRAME with TRACK 1 (RH)
</t>
    </r>
    <r>
      <rPr>
        <b/>
        <sz val="16"/>
        <color theme="1"/>
        <rFont val="Trebuchet MS"/>
        <family val="2"/>
      </rPr>
      <t>SN-10.2025.029</t>
    </r>
  </si>
  <si>
    <r>
      <t xml:space="preserve">TRACK FRAME with TRACK 2 (LH) 
</t>
    </r>
    <r>
      <rPr>
        <b/>
        <sz val="16"/>
        <color theme="1"/>
        <rFont val="Trebuchet MS"/>
        <family val="2"/>
      </rPr>
      <t>SN-10.2025.029</t>
    </r>
  </si>
  <si>
    <r>
      <t xml:space="preserve">Car Body AR
</t>
    </r>
    <r>
      <rPr>
        <b/>
        <sz val="16"/>
        <color theme="1"/>
        <rFont val="Trebuchet MS"/>
        <family val="2"/>
      </rPr>
      <t>BSN-043</t>
    </r>
  </si>
  <si>
    <r>
      <t xml:space="preserve">CHASSIS AR
</t>
    </r>
    <r>
      <rPr>
        <b/>
        <sz val="16"/>
        <color theme="1"/>
        <rFont val="Trebuchet MS"/>
        <family val="2"/>
      </rPr>
      <t>BSN-007</t>
    </r>
  </si>
  <si>
    <r>
      <t xml:space="preserve">Boom AR
</t>
    </r>
    <r>
      <rPr>
        <b/>
        <sz val="16"/>
        <color theme="1"/>
        <rFont val="Trebuchet MS"/>
        <family val="2"/>
      </rPr>
      <t>BSN-035</t>
    </r>
  </si>
  <si>
    <r>
      <t xml:space="preserve">STICK AR
</t>
    </r>
    <r>
      <rPr>
        <b/>
        <sz val="16"/>
        <color theme="1"/>
        <rFont val="Trebuchet MS"/>
        <family val="2"/>
      </rPr>
      <t>SN-10.2025.028</t>
    </r>
  </si>
  <si>
    <t>: FRONTIER SOCIETE ANONYME (SA)</t>
  </si>
  <si>
    <t>: BA3195</t>
  </si>
  <si>
    <t>: BDGVU</t>
  </si>
  <si>
    <t>BDGVU</t>
  </si>
  <si>
    <t>FRONTIER SOCIETE ANONYME (SA)</t>
  </si>
  <si>
    <t>6P300139</t>
  </si>
  <si>
    <t>BSN-007</t>
  </si>
  <si>
    <t>BSN-035</t>
  </si>
  <si>
    <t>SUP-30 / SN-10.2025.028</t>
  </si>
  <si>
    <t>BSN-043</t>
  </si>
  <si>
    <t>SUP-02</t>
  </si>
  <si>
    <t>SUP-49  / SN-10.2025.029</t>
  </si>
  <si>
    <t>AFTER REWORK</t>
  </si>
  <si>
    <t>BS WHARF LANE-1</t>
  </si>
  <si>
    <t>BS WHARF LANE-4</t>
  </si>
  <si>
    <t>RH Z6G00124 - LH Z6G00125</t>
  </si>
  <si>
    <r>
      <t xml:space="preserve">Module AR Power
CAT Engine no </t>
    </r>
    <r>
      <rPr>
        <b/>
        <sz val="16"/>
        <color theme="1"/>
        <rFont val="Trebuchet MS"/>
        <family val="2"/>
      </rPr>
      <t>:</t>
    </r>
    <r>
      <rPr>
        <b/>
        <sz val="16"/>
        <color rgb="FFFF0000"/>
        <rFont val="Trebuchet MS"/>
        <family val="2"/>
      </rPr>
      <t xml:space="preserve"> 
RH Z6G00124 - LH Z6G00125</t>
    </r>
    <r>
      <rPr>
        <b/>
        <sz val="16"/>
        <color theme="1"/>
        <rFont val="Trebuchet MS"/>
        <family val="2"/>
      </rPr>
      <t xml:space="preserve">
</t>
    </r>
  </si>
  <si>
    <t>INTIAL PACKING LIST WEIGHT</t>
  </si>
  <si>
    <t xml:space="preserve"> </t>
  </si>
  <si>
    <t>INSTALLATION GP = BOLTS?</t>
  </si>
  <si>
    <t>LOAD NR</t>
  </si>
  <si>
    <t>Riser AR - FOBS CAB?</t>
  </si>
  <si>
    <t>9f</t>
  </si>
  <si>
    <t>9b</t>
  </si>
  <si>
    <t>10f</t>
  </si>
  <si>
    <t>10b</t>
  </si>
  <si>
    <t>12m tri axle</t>
  </si>
  <si>
    <t>link 1</t>
  </si>
  <si>
    <t>link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</si>
</sst>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-* #,##0.00\ _€_-;\-* #,##0.00\ _€_-;_-* &quot;-&quot;??\ _€_-;_-@_-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Tw Cen MT"/>
      <family val="2"/>
    </font>
    <font>
      <sz val="12"/>
      <color theme="1"/>
      <name val="Tw Cen MT"/>
      <family val="2"/>
    </font>
    <font>
      <sz val="10"/>
      <name val="Arial"/>
      <family val="2"/>
    </font>
    <font>
      <sz val="10"/>
      <color theme="1"/>
      <name val="Tw Cen MT"/>
      <family val="2"/>
    </font>
    <font>
      <b/>
      <sz val="9"/>
      <color rgb="FF000000"/>
      <name val="Tw Cen MT"/>
      <family val="2"/>
    </font>
    <font>
      <sz val="10"/>
      <color indexed="8"/>
      <name val="Trebuchet MS"/>
      <family val="2"/>
    </font>
    <font>
      <sz val="10"/>
      <color theme="0"/>
      <name val="Trebuchet MS"/>
      <family val="2"/>
    </font>
    <font>
      <sz val="11"/>
      <color theme="1"/>
      <name val="Trebuchet MS"/>
      <family val="2"/>
    </font>
    <font>
      <b/>
      <sz val="11"/>
      <color indexed="8"/>
      <name val="Trebuchet MS"/>
      <family val="2"/>
    </font>
    <font>
      <b/>
      <sz val="11"/>
      <color theme="1"/>
      <name val="Trebuchet MS"/>
      <family val="2"/>
    </font>
    <font>
      <b/>
      <sz val="16"/>
      <color indexed="8"/>
      <name val="Trebuchet MS"/>
      <family val="2"/>
    </font>
    <font>
      <sz val="16"/>
      <color theme="1"/>
      <name val="Trebuchet MS"/>
      <family val="2"/>
    </font>
    <font>
      <b/>
      <sz val="12"/>
      <color rgb="FFFF0000"/>
      <name val="Trebuchet MS"/>
      <family val="2"/>
    </font>
    <font>
      <sz val="12"/>
      <color theme="1"/>
      <name val="Trebuchet MS"/>
      <family val="2"/>
    </font>
    <font>
      <b/>
      <sz val="14"/>
      <color theme="1"/>
      <name val="Trebuchet MS"/>
      <family val="2"/>
    </font>
    <font>
      <b/>
      <sz val="14"/>
      <color indexed="8"/>
      <name val="Trebuchet MS"/>
      <family val="2"/>
    </font>
    <font>
      <sz val="14"/>
      <color theme="1"/>
      <name val="Trebuchet MS"/>
      <family val="2"/>
    </font>
    <font>
      <b/>
      <sz val="16"/>
      <color theme="1"/>
      <name val="Trebuchet MS"/>
      <family val="2"/>
    </font>
    <font>
      <sz val="14"/>
      <name val="Trebuchet MS"/>
      <family val="2"/>
    </font>
    <font>
      <sz val="10"/>
      <color theme="1"/>
      <name val="Trebuchet MS"/>
      <family val="2"/>
    </font>
    <font>
      <sz val="18"/>
      <color theme="1"/>
      <name val="Tw Cen MT"/>
      <family val="2"/>
    </font>
    <font>
      <sz val="14"/>
      <color indexed="8"/>
      <name val="Trebuchet MS"/>
      <family val="2"/>
    </font>
    <font>
      <b/>
      <u/>
      <sz val="14"/>
      <name val="Trebuchet MS"/>
      <family val="2"/>
    </font>
    <font>
      <b/>
      <u/>
      <sz val="14"/>
      <color indexed="8"/>
      <name val="Trebuchet MS"/>
      <family val="2"/>
    </font>
    <font>
      <sz val="11"/>
      <color theme="0"/>
      <name val="Trebuchet MS"/>
      <family val="2"/>
    </font>
    <font>
      <sz val="12"/>
      <color theme="0"/>
      <name val="Trebuchet MS"/>
      <family val="2"/>
    </font>
    <font>
      <b/>
      <sz val="14"/>
      <color theme="0"/>
      <name val="Trebuchet MS"/>
      <family val="2"/>
    </font>
    <font>
      <b/>
      <sz val="28"/>
      <color rgb="FF000000"/>
      <name val="Arial"/>
      <family val="2"/>
    </font>
    <font>
      <b/>
      <sz val="14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color rgb="FFFF0000"/>
      <name val="Trebuchet MS"/>
      <family val="2"/>
    </font>
    <font>
      <b/>
      <i/>
      <sz val="16"/>
      <color rgb="FFFF0000"/>
      <name val="Trebuchet MS"/>
      <family val="2"/>
    </font>
    <font>
      <sz val="10"/>
      <color rgb="FFFF0000"/>
      <name val="Trebuchet MS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Tw Cen MT"/>
      <family val="2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Tw Cen MT"/>
      <family val="2"/>
    </font>
    <font>
      <b/>
      <sz val="12"/>
      <color theme="1"/>
      <name val="Tw Cen MT"/>
      <family val="2"/>
    </font>
    <font>
      <b/>
      <sz val="20"/>
      <color theme="1"/>
      <name val="Tw Cen MT"/>
      <family val="2"/>
    </font>
    <font>
      <sz val="20"/>
      <name val="Tw Cen MT"/>
      <family val="2"/>
    </font>
    <font>
      <b/>
      <sz val="14"/>
      <color rgb="FFFF0000"/>
      <name val="Trebuchet MS"/>
      <family val="2"/>
    </font>
    <font>
      <b/>
      <sz val="10"/>
      <color theme="1"/>
      <name val="Trebuchet MS"/>
      <family val="2"/>
    </font>
    <font>
      <b/>
      <sz val="16"/>
      <name val="Trebuchet MS"/>
      <family val="2"/>
    </font>
    <font>
      <sz val="16"/>
      <name val="Trebuchet MS"/>
      <family val="2"/>
    </font>
    <font>
      <sz val="28"/>
      <name val="Trebuchet MS"/>
      <family val="2"/>
    </font>
    <font>
      <sz val="36"/>
      <name val="Trebuchet MS"/>
      <family val="2"/>
    </font>
    <font>
      <b/>
      <sz val="26"/>
      <name val="Trebuchet MS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211">
    <xf numFmtId="0" fontId="0" fillId="0" borderId="0" xfId="0"/>
    <xf numFmtId="0" fontId="1" fillId="0" borderId="0" xfId="0" applyFont="1"/>
    <xf numFmtId="0" fontId="5" fillId="5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 vertical="top"/>
    </xf>
    <xf numFmtId="164" fontId="6" fillId="2" borderId="0" xfId="0" applyNumberFormat="1" applyFont="1" applyFill="1"/>
    <xf numFmtId="0" fontId="8" fillId="3" borderId="0" xfId="0" applyFont="1" applyFill="1" applyAlignment="1">
      <alignment horizontal="left" vertical="center"/>
    </xf>
    <xf numFmtId="0" fontId="6" fillId="3" borderId="0" xfId="0" applyFont="1" applyFill="1"/>
    <xf numFmtId="0" fontId="8" fillId="0" borderId="0" xfId="0" applyFont="1" applyAlignment="1">
      <alignment horizontal="left" vertical="center"/>
    </xf>
    <xf numFmtId="0" fontId="8" fillId="3" borderId="0" xfId="0" applyFont="1" applyFill="1"/>
    <xf numFmtId="0" fontId="10" fillId="3" borderId="0" xfId="0" applyFont="1" applyFill="1" applyAlignment="1">
      <alignment horizontal="left"/>
    </xf>
    <xf numFmtId="0" fontId="11" fillId="3" borderId="0" xfId="0" applyFont="1" applyFill="1" applyAlignment="1">
      <alignment horizontal="center" wrapText="1"/>
    </xf>
    <xf numFmtId="0" fontId="12" fillId="3" borderId="0" xfId="0" applyFont="1" applyFill="1"/>
    <xf numFmtId="164" fontId="8" fillId="3" borderId="0" xfId="0" applyNumberFormat="1" applyFont="1" applyFill="1"/>
    <xf numFmtId="0" fontId="9" fillId="3" borderId="0" xfId="0" applyFont="1" applyFill="1" applyAlignment="1">
      <alignment horizontal="left"/>
    </xf>
    <xf numFmtId="0" fontId="8" fillId="3" borderId="0" xfId="0" applyFont="1" applyFill="1" applyAlignment="1">
      <alignment wrapText="1"/>
    </xf>
    <xf numFmtId="0" fontId="13" fillId="3" borderId="0" xfId="0" applyFont="1" applyFill="1"/>
    <xf numFmtId="0" fontId="14" fillId="3" borderId="0" xfId="0" applyFont="1" applyFill="1"/>
    <xf numFmtId="0" fontId="14" fillId="3" borderId="0" xfId="0" applyFont="1" applyFill="1" applyAlignment="1">
      <alignment wrapText="1"/>
    </xf>
    <xf numFmtId="0" fontId="8" fillId="3" borderId="0" xfId="0" applyFont="1" applyFill="1" applyAlignment="1">
      <alignment horizontal="left" vertical="center" wrapText="1"/>
    </xf>
    <xf numFmtId="164" fontId="8" fillId="3" borderId="0" xfId="0" applyNumberFormat="1" applyFont="1" applyFill="1" applyAlignment="1">
      <alignment horizontal="left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164" fontId="15" fillId="4" borderId="4" xfId="0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 wrapText="1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1" fontId="17" fillId="3" borderId="4" xfId="0" applyNumberFormat="1" applyFont="1" applyFill="1" applyBorder="1" applyAlignment="1">
      <alignment horizontal="center" vertical="center"/>
    </xf>
    <xf numFmtId="4" fontId="19" fillId="3" borderId="4" xfId="1" applyNumberFormat="1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2" fillId="3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left" vertical="center"/>
    </xf>
    <xf numFmtId="0" fontId="17" fillId="3" borderId="4" xfId="0" applyFont="1" applyFill="1" applyBorder="1" applyAlignment="1">
      <alignment horizontal="left" vertical="center" wrapText="1"/>
    </xf>
    <xf numFmtId="1" fontId="19" fillId="0" borderId="4" xfId="0" applyNumberFormat="1" applyFont="1" applyBorder="1" applyAlignment="1">
      <alignment horizontal="center" vertical="center"/>
    </xf>
    <xf numFmtId="4" fontId="19" fillId="0" borderId="4" xfId="1" applyNumberFormat="1" applyFont="1" applyBorder="1" applyAlignment="1">
      <alignment horizontal="center" vertical="center" wrapText="1"/>
    </xf>
    <xf numFmtId="1" fontId="19" fillId="0" borderId="8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6" xfId="0" applyFont="1" applyFill="1" applyBorder="1" applyAlignment="1">
      <alignment vertical="top" wrapText="1"/>
    </xf>
    <xf numFmtId="0" fontId="6" fillId="2" borderId="7" xfId="0" applyFont="1" applyFill="1" applyBorder="1" applyAlignment="1">
      <alignment vertical="top" wrapText="1"/>
    </xf>
    <xf numFmtId="0" fontId="22" fillId="3" borderId="0" xfId="0" applyFont="1" applyFill="1" applyAlignment="1">
      <alignment horizontal="left" vertical="center"/>
    </xf>
    <xf numFmtId="164" fontId="23" fillId="3" borderId="0" xfId="0" applyNumberFormat="1" applyFont="1" applyFill="1" applyAlignment="1">
      <alignment horizontal="left" vertical="center"/>
    </xf>
    <xf numFmtId="3" fontId="16" fillId="3" borderId="4" xfId="0" applyNumberFormat="1" applyFont="1" applyFill="1" applyBorder="1" applyAlignment="1">
      <alignment horizontal="center" vertical="center" wrapText="1"/>
    </xf>
    <xf numFmtId="164" fontId="24" fillId="3" borderId="4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/>
    <xf numFmtId="0" fontId="8" fillId="3" borderId="2" xfId="0" applyFont="1" applyFill="1" applyBorder="1"/>
    <xf numFmtId="0" fontId="8" fillId="3" borderId="3" xfId="0" applyFont="1" applyFill="1" applyBorder="1"/>
    <xf numFmtId="0" fontId="15" fillId="3" borderId="9" xfId="0" applyFont="1" applyFill="1" applyBorder="1" applyAlignment="1">
      <alignment horizontal="left"/>
    </xf>
    <xf numFmtId="0" fontId="16" fillId="3" borderId="0" xfId="0" applyFont="1" applyFill="1" applyAlignment="1">
      <alignment horizontal="left"/>
    </xf>
    <xf numFmtId="0" fontId="16" fillId="3" borderId="10" xfId="0" applyFont="1" applyFill="1" applyBorder="1" applyAlignment="1">
      <alignment horizontal="left"/>
    </xf>
    <xf numFmtId="0" fontId="7" fillId="0" borderId="0" xfId="0" applyFont="1"/>
    <xf numFmtId="0" fontId="25" fillId="3" borderId="0" xfId="0" applyFont="1" applyFill="1" applyAlignment="1">
      <alignment horizontal="left" vertical="center"/>
    </xf>
    <xf numFmtId="0" fontId="25" fillId="0" borderId="0" xfId="0" applyFont="1"/>
    <xf numFmtId="0" fontId="26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left" vertical="center"/>
    </xf>
    <xf numFmtId="0" fontId="25" fillId="3" borderId="0" xfId="0" applyFont="1" applyFill="1"/>
    <xf numFmtId="0" fontId="15" fillId="4" borderId="4" xfId="0" quotePrefix="1" applyFont="1" applyFill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/>
    </xf>
    <xf numFmtId="0" fontId="16" fillId="3" borderId="11" xfId="0" applyFont="1" applyFill="1" applyBorder="1"/>
    <xf numFmtId="0" fontId="16" fillId="3" borderId="12" xfId="0" applyFont="1" applyFill="1" applyBorder="1"/>
    <xf numFmtId="0" fontId="16" fillId="3" borderId="13" xfId="0" applyFont="1" applyFill="1" applyBorder="1"/>
    <xf numFmtId="1" fontId="20" fillId="3" borderId="0" xfId="0" applyNumberFormat="1" applyFont="1" applyFill="1" applyAlignment="1">
      <alignment horizontal="left" vertical="center"/>
    </xf>
    <xf numFmtId="0" fontId="29" fillId="0" borderId="0" xfId="0" applyFont="1"/>
    <xf numFmtId="0" fontId="28" fillId="0" borderId="0" xfId="0" applyFont="1" applyAlignment="1">
      <alignment horizontal="left" vertical="center" indent="5"/>
    </xf>
    <xf numFmtId="0" fontId="6" fillId="0" borderId="5" xfId="0" applyFont="1" applyBorder="1" applyAlignment="1">
      <alignment vertical="top" wrapText="1"/>
    </xf>
    <xf numFmtId="0" fontId="4" fillId="0" borderId="0" xfId="0" applyFont="1" applyAlignment="1">
      <alignment horizontal="center" vertical="center"/>
    </xf>
    <xf numFmtId="0" fontId="2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33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0" fontId="34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4" fillId="0" borderId="4" xfId="0" applyFont="1" applyBorder="1" applyAlignment="1">
      <alignment vertical="center" wrapText="1"/>
    </xf>
    <xf numFmtId="0" fontId="35" fillId="0" borderId="0" xfId="0" applyFont="1"/>
    <xf numFmtId="0" fontId="37" fillId="0" borderId="0" xfId="0" applyFont="1"/>
    <xf numFmtId="0" fontId="38" fillId="0" borderId="4" xfId="0" applyFont="1" applyBorder="1" applyAlignment="1">
      <alignment vertical="center"/>
    </xf>
    <xf numFmtId="0" fontId="39" fillId="5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0" fillId="5" borderId="4" xfId="0" applyFont="1" applyFill="1" applyBorder="1" applyAlignment="1">
      <alignment vertical="center"/>
    </xf>
    <xf numFmtId="0" fontId="40" fillId="5" borderId="4" xfId="0" applyFont="1" applyFill="1" applyBorder="1" applyAlignment="1">
      <alignment vertical="center" wrapText="1"/>
    </xf>
    <xf numFmtId="0" fontId="38" fillId="6" borderId="4" xfId="0" applyFont="1" applyFill="1" applyBorder="1" applyAlignment="1">
      <alignment horizontal="left" vertical="center"/>
    </xf>
    <xf numFmtId="0" fontId="38" fillId="0" borderId="4" xfId="0" applyFont="1" applyBorder="1" applyAlignment="1">
      <alignment horizontal="left" vertical="center"/>
    </xf>
    <xf numFmtId="0" fontId="38" fillId="6" borderId="4" xfId="0" applyFont="1" applyFill="1" applyBorder="1" applyAlignment="1">
      <alignment vertical="center"/>
    </xf>
    <xf numFmtId="0" fontId="38" fillId="0" borderId="7" xfId="0" applyFont="1" applyBorder="1" applyAlignment="1">
      <alignment horizontal="left" vertical="center"/>
    </xf>
    <xf numFmtId="0" fontId="41" fillId="0" borderId="4" xfId="0" applyFont="1" applyBorder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164" fontId="15" fillId="4" borderId="0" xfId="0" applyNumberFormat="1" applyFont="1" applyFill="1" applyAlignment="1">
      <alignment horizontal="center" vertical="center" wrapText="1"/>
    </xf>
    <xf numFmtId="4" fontId="19" fillId="3" borderId="0" xfId="1" applyNumberFormat="1" applyFont="1" applyFill="1" applyBorder="1" applyAlignment="1">
      <alignment horizontal="center" vertical="center" wrapText="1"/>
    </xf>
    <xf numFmtId="4" fontId="19" fillId="0" borderId="0" xfId="1" applyNumberFormat="1" applyFont="1" applyBorder="1" applyAlignment="1">
      <alignment horizontal="center" vertical="center" wrapText="1"/>
    </xf>
    <xf numFmtId="164" fontId="24" fillId="3" borderId="0" xfId="0" applyNumberFormat="1" applyFont="1" applyFill="1" applyAlignment="1">
      <alignment horizontal="center" vertical="center" wrapText="1"/>
    </xf>
    <xf numFmtId="0" fontId="6" fillId="0" borderId="13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20" fillId="2" borderId="14" xfId="0" applyFont="1" applyFill="1" applyBorder="1" applyAlignment="1">
      <alignment vertical="top" wrapText="1"/>
    </xf>
    <xf numFmtId="3" fontId="15" fillId="3" borderId="15" xfId="0" applyNumberFormat="1" applyFont="1" applyFill="1" applyBorder="1" applyAlignment="1">
      <alignment horizontal="center" vertical="center" wrapText="1"/>
    </xf>
    <xf numFmtId="1" fontId="19" fillId="7" borderId="0" xfId="1" applyNumberFormat="1" applyFont="1" applyFill="1" applyBorder="1" applyAlignment="1">
      <alignment horizontal="center" vertical="center" wrapText="1"/>
    </xf>
    <xf numFmtId="1" fontId="19" fillId="0" borderId="0" xfId="1" applyNumberFormat="1" applyFont="1" applyBorder="1" applyAlignment="1">
      <alignment horizontal="center" vertical="center" wrapText="1"/>
    </xf>
    <xf numFmtId="1" fontId="24" fillId="3" borderId="0" xfId="0" applyNumberFormat="1" applyFont="1" applyFill="1" applyAlignment="1">
      <alignment horizontal="center" vertical="center" wrapText="1"/>
    </xf>
    <xf numFmtId="3" fontId="44" fillId="0" borderId="0" xfId="0" applyNumberFormat="1" applyFont="1" applyAlignment="1">
      <alignment horizontal="left" vertical="center"/>
    </xf>
    <xf numFmtId="164" fontId="15" fillId="0" borderId="0" xfId="0" applyNumberFormat="1" applyFont="1" applyAlignment="1">
      <alignment horizontal="center" vertical="center" wrapText="1"/>
    </xf>
    <xf numFmtId="0" fontId="43" fillId="0" borderId="0" xfId="0" applyFont="1" applyAlignment="1">
      <alignment horizontal="left" vertical="center"/>
    </xf>
    <xf numFmtId="164" fontId="6" fillId="2" borderId="0" xfId="0" applyNumberFormat="1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164" fontId="23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vertical="center" wrapText="1"/>
    </xf>
    <xf numFmtId="0" fontId="17" fillId="8" borderId="4" xfId="0" applyFont="1" applyFill="1" applyBorder="1" applyAlignment="1">
      <alignment horizontal="left" vertical="center"/>
    </xf>
    <xf numFmtId="0" fontId="17" fillId="8" borderId="4" xfId="0" applyFont="1" applyFill="1" applyBorder="1" applyAlignment="1">
      <alignment horizontal="left" vertical="center" wrapText="1"/>
    </xf>
    <xf numFmtId="1" fontId="42" fillId="8" borderId="4" xfId="0" applyNumberFormat="1" applyFont="1" applyFill="1" applyBorder="1" applyAlignment="1">
      <alignment horizontal="center" vertical="center"/>
    </xf>
    <xf numFmtId="1" fontId="17" fillId="8" borderId="4" xfId="0" applyNumberFormat="1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vertical="center" wrapText="1"/>
    </xf>
    <xf numFmtId="0" fontId="17" fillId="9" borderId="4" xfId="0" applyFont="1" applyFill="1" applyBorder="1" applyAlignment="1">
      <alignment horizontal="left" vertical="center"/>
    </xf>
    <xf numFmtId="0" fontId="17" fillId="9" borderId="4" xfId="0" applyFont="1" applyFill="1" applyBorder="1" applyAlignment="1">
      <alignment horizontal="left" vertical="center" wrapText="1"/>
    </xf>
    <xf numFmtId="1" fontId="42" fillId="9" borderId="4" xfId="0" applyNumberFormat="1" applyFont="1" applyFill="1" applyBorder="1" applyAlignment="1">
      <alignment horizontal="center" vertical="center"/>
    </xf>
    <xf numFmtId="1" fontId="17" fillId="9" borderId="4" xfId="0" applyNumberFormat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vertical="center" wrapText="1"/>
    </xf>
    <xf numFmtId="0" fontId="17" fillId="10" borderId="4" xfId="0" applyFont="1" applyFill="1" applyBorder="1" applyAlignment="1">
      <alignment horizontal="left" vertical="center"/>
    </xf>
    <xf numFmtId="0" fontId="17" fillId="10" borderId="4" xfId="0" applyFont="1" applyFill="1" applyBorder="1" applyAlignment="1">
      <alignment horizontal="left" vertical="center" wrapText="1"/>
    </xf>
    <xf numFmtId="1" fontId="42" fillId="10" borderId="4" xfId="0" applyNumberFormat="1" applyFont="1" applyFill="1" applyBorder="1" applyAlignment="1">
      <alignment horizontal="center" vertical="center"/>
    </xf>
    <xf numFmtId="1" fontId="17" fillId="10" borderId="4" xfId="0" applyNumberFormat="1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vertical="center" wrapText="1"/>
    </xf>
    <xf numFmtId="0" fontId="17" fillId="11" borderId="4" xfId="0" applyFont="1" applyFill="1" applyBorder="1" applyAlignment="1">
      <alignment horizontal="left" vertical="center"/>
    </xf>
    <xf numFmtId="0" fontId="17" fillId="11" borderId="4" xfId="0" applyFont="1" applyFill="1" applyBorder="1" applyAlignment="1">
      <alignment horizontal="left" vertical="center" wrapText="1"/>
    </xf>
    <xf numFmtId="1" fontId="42" fillId="11" borderId="4" xfId="0" applyNumberFormat="1" applyFont="1" applyFill="1" applyBorder="1" applyAlignment="1">
      <alignment horizontal="center" vertical="center"/>
    </xf>
    <xf numFmtId="1" fontId="17" fillId="11" borderId="4" xfId="0" applyNumberFormat="1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vertical="center"/>
    </xf>
    <xf numFmtId="0" fontId="17" fillId="12" borderId="4" xfId="0" applyFont="1" applyFill="1" applyBorder="1" applyAlignment="1">
      <alignment horizontal="left" vertical="center"/>
    </xf>
    <xf numFmtId="0" fontId="17" fillId="12" borderId="4" xfId="0" applyFont="1" applyFill="1" applyBorder="1" applyAlignment="1">
      <alignment horizontal="left" vertical="center" wrapText="1"/>
    </xf>
    <xf numFmtId="0" fontId="42" fillId="12" borderId="4" xfId="0" applyFont="1" applyFill="1" applyBorder="1" applyAlignment="1">
      <alignment horizontal="center" vertical="center"/>
    </xf>
    <xf numFmtId="1" fontId="42" fillId="12" borderId="4" xfId="0" applyNumberFormat="1" applyFont="1" applyFill="1" applyBorder="1" applyAlignment="1">
      <alignment horizontal="center" vertical="center"/>
    </xf>
    <xf numFmtId="1" fontId="17" fillId="12" borderId="4" xfId="0" applyNumberFormat="1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vertical="center" wrapText="1"/>
    </xf>
    <xf numFmtId="0" fontId="17" fillId="13" borderId="4" xfId="0" applyFont="1" applyFill="1" applyBorder="1" applyAlignment="1">
      <alignment horizontal="left" vertical="center"/>
    </xf>
    <xf numFmtId="0" fontId="17" fillId="13" borderId="4" xfId="0" applyFont="1" applyFill="1" applyBorder="1" applyAlignment="1">
      <alignment horizontal="left" vertical="center" wrapText="1"/>
    </xf>
    <xf numFmtId="1" fontId="42" fillId="13" borderId="4" xfId="0" applyNumberFormat="1" applyFont="1" applyFill="1" applyBorder="1" applyAlignment="1">
      <alignment horizontal="center" vertical="center"/>
    </xf>
    <xf numFmtId="1" fontId="17" fillId="13" borderId="4" xfId="0" applyNumberFormat="1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vertical="center"/>
    </xf>
    <xf numFmtId="0" fontId="17" fillId="14" borderId="4" xfId="0" applyFont="1" applyFill="1" applyBorder="1" applyAlignment="1">
      <alignment horizontal="left" vertical="center"/>
    </xf>
    <xf numFmtId="0" fontId="17" fillId="14" borderId="4" xfId="0" applyFont="1" applyFill="1" applyBorder="1" applyAlignment="1">
      <alignment horizontal="left" vertical="center" wrapText="1"/>
    </xf>
    <xf numFmtId="0" fontId="42" fillId="14" borderId="4" xfId="0" applyFont="1" applyFill="1" applyBorder="1" applyAlignment="1">
      <alignment horizontal="center" vertical="center"/>
    </xf>
    <xf numFmtId="1" fontId="17" fillId="14" borderId="4" xfId="0" applyNumberFormat="1" applyFont="1" applyFill="1" applyBorder="1" applyAlignment="1">
      <alignment horizontal="center" vertical="center"/>
    </xf>
    <xf numFmtId="1" fontId="42" fillId="14" borderId="4" xfId="0" applyNumberFormat="1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vertical="center" wrapText="1"/>
    </xf>
    <xf numFmtId="0" fontId="17" fillId="15" borderId="4" xfId="0" applyFont="1" applyFill="1" applyBorder="1" applyAlignment="1">
      <alignment horizontal="left" vertical="center"/>
    </xf>
    <xf numFmtId="0" fontId="17" fillId="15" borderId="4" xfId="0" applyFont="1" applyFill="1" applyBorder="1" applyAlignment="1">
      <alignment horizontal="left" vertical="center" wrapText="1"/>
    </xf>
    <xf numFmtId="1" fontId="17" fillId="15" borderId="4" xfId="0" applyNumberFormat="1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vertical="center"/>
    </xf>
    <xf numFmtId="1" fontId="17" fillId="15" borderId="8" xfId="0" applyNumberFormat="1" applyFont="1" applyFill="1" applyBorder="1" applyAlignment="1">
      <alignment horizontal="center" vertical="center"/>
    </xf>
    <xf numFmtId="0" fontId="17" fillId="15" borderId="8" xfId="0" applyFont="1" applyFill="1" applyBorder="1" applyAlignment="1">
      <alignment horizontal="center" vertical="center"/>
    </xf>
    <xf numFmtId="0" fontId="12" fillId="15" borderId="8" xfId="0" applyFont="1" applyFill="1" applyBorder="1" applyAlignment="1">
      <alignment vertical="center"/>
    </xf>
    <xf numFmtId="0" fontId="17" fillId="15" borderId="8" xfId="0" applyFont="1" applyFill="1" applyBorder="1" applyAlignment="1">
      <alignment horizontal="left" vertical="center"/>
    </xf>
    <xf numFmtId="0" fontId="17" fillId="15" borderId="8" xfId="0" applyFont="1" applyFill="1" applyBorder="1" applyAlignment="1">
      <alignment horizontal="left" vertical="center" wrapText="1"/>
    </xf>
    <xf numFmtId="0" fontId="42" fillId="15" borderId="8" xfId="0" applyFont="1" applyFill="1" applyBorder="1" applyAlignment="1">
      <alignment horizontal="center" vertical="center"/>
    </xf>
    <xf numFmtId="0" fontId="42" fillId="15" borderId="4" xfId="0" applyFont="1" applyFill="1" applyBorder="1" applyAlignment="1">
      <alignment horizontal="center" vertical="center"/>
    </xf>
    <xf numFmtId="0" fontId="17" fillId="16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vertical="center"/>
    </xf>
    <xf numFmtId="0" fontId="17" fillId="16" borderId="4" xfId="0" applyFont="1" applyFill="1" applyBorder="1" applyAlignment="1">
      <alignment horizontal="left" vertical="center"/>
    </xf>
    <xf numFmtId="0" fontId="17" fillId="16" borderId="4" xfId="0" applyFont="1" applyFill="1" applyBorder="1" applyAlignment="1">
      <alignment horizontal="left" vertical="center" wrapText="1"/>
    </xf>
    <xf numFmtId="1" fontId="17" fillId="16" borderId="4" xfId="0" applyNumberFormat="1" applyFont="1" applyFill="1" applyBorder="1" applyAlignment="1">
      <alignment horizontal="center" vertical="center"/>
    </xf>
    <xf numFmtId="0" fontId="42" fillId="16" borderId="4" xfId="0" applyFont="1" applyFill="1" applyBorder="1" applyAlignment="1">
      <alignment horizontal="center" vertical="center"/>
    </xf>
    <xf numFmtId="0" fontId="17" fillId="17" borderId="4" xfId="0" applyFont="1" applyFill="1" applyBorder="1" applyAlignment="1">
      <alignment horizontal="center" vertical="center"/>
    </xf>
    <xf numFmtId="0" fontId="12" fillId="17" borderId="4" xfId="0" applyFont="1" applyFill="1" applyBorder="1" applyAlignment="1">
      <alignment vertical="center"/>
    </xf>
    <xf numFmtId="0" fontId="17" fillId="17" borderId="4" xfId="0" applyFont="1" applyFill="1" applyBorder="1" applyAlignment="1">
      <alignment horizontal="left" vertical="center"/>
    </xf>
    <xf numFmtId="0" fontId="17" fillId="17" borderId="4" xfId="0" applyFont="1" applyFill="1" applyBorder="1" applyAlignment="1">
      <alignment horizontal="left" vertical="center" wrapText="1"/>
    </xf>
    <xf numFmtId="0" fontId="42" fillId="17" borderId="4" xfId="0" applyFont="1" applyFill="1" applyBorder="1" applyAlignment="1">
      <alignment horizontal="center" vertical="center"/>
    </xf>
    <xf numFmtId="1" fontId="17" fillId="17" borderId="4" xfId="0" applyNumberFormat="1" applyFont="1" applyFill="1" applyBorder="1" applyAlignment="1">
      <alignment horizontal="center" vertical="center"/>
    </xf>
    <xf numFmtId="1" fontId="42" fillId="17" borderId="4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 wrapText="1"/>
    </xf>
    <xf numFmtId="0" fontId="17" fillId="18" borderId="4" xfId="0" applyFont="1" applyFill="1" applyBorder="1" applyAlignment="1">
      <alignment horizontal="center" vertical="center"/>
    </xf>
    <xf numFmtId="0" fontId="12" fillId="18" borderId="4" xfId="0" applyFont="1" applyFill="1" applyBorder="1" applyAlignment="1">
      <alignment vertical="center" wrapText="1"/>
    </xf>
    <xf numFmtId="0" fontId="17" fillId="18" borderId="4" xfId="0" applyFont="1" applyFill="1" applyBorder="1" applyAlignment="1">
      <alignment horizontal="left" vertical="center"/>
    </xf>
    <xf numFmtId="0" fontId="17" fillId="18" borderId="4" xfId="0" applyFont="1" applyFill="1" applyBorder="1" applyAlignment="1">
      <alignment horizontal="left" vertical="center" wrapText="1"/>
    </xf>
    <xf numFmtId="0" fontId="42" fillId="18" borderId="4" xfId="0" applyFont="1" applyFill="1" applyBorder="1" applyAlignment="1">
      <alignment horizontal="center" vertical="center"/>
    </xf>
    <xf numFmtId="1" fontId="42" fillId="18" borderId="4" xfId="0" applyNumberFormat="1" applyFont="1" applyFill="1" applyBorder="1" applyAlignment="1">
      <alignment horizontal="center" vertical="center"/>
    </xf>
    <xf numFmtId="1" fontId="17" fillId="18" borderId="4" xfId="0" applyNumberFormat="1" applyFont="1" applyFill="1" applyBorder="1" applyAlignment="1">
      <alignment horizontal="center" vertical="center"/>
    </xf>
    <xf numFmtId="0" fontId="12" fillId="18" borderId="4" xfId="0" applyFont="1" applyFill="1" applyBorder="1" applyAlignment="1">
      <alignment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46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</cellXfs>
  <cellStyles count="2">
    <cellStyle name="Komma 2" xfId="1" xr:uid="{68FF6FE1-712F-44D8-9EAD-82724EF6DA52}"/>
    <cellStyle name="Normal" xfId="0" builtinId="0"/>
  </cellStyles>
  <dxfs count="1">
    <dxf>
      <font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28479</xdr:colOff>
      <xdr:row>0</xdr:row>
      <xdr:rowOff>3464</xdr:rowOff>
    </xdr:from>
    <xdr:to>
      <xdr:col>1</xdr:col>
      <xdr:colOff>810875</xdr:colOff>
      <xdr:row>1</xdr:row>
      <xdr:rowOff>22514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4030C0F-F534-452F-9FC4-95CC1D173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" y="3464"/>
          <a:ext cx="1919046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28479</xdr:colOff>
      <xdr:row>0</xdr:row>
      <xdr:rowOff>3464</xdr:rowOff>
    </xdr:from>
    <xdr:to>
      <xdr:col>1</xdr:col>
      <xdr:colOff>810875</xdr:colOff>
      <xdr:row>1</xdr:row>
      <xdr:rowOff>22514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99576-576A-4871-8F3C-B8A85E3DB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" y="3464"/>
          <a:ext cx="1919046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96451</xdr:colOff>
      <xdr:row>1</xdr:row>
      <xdr:rowOff>300181</xdr:rowOff>
    </xdr:from>
    <xdr:to>
      <xdr:col>11</xdr:col>
      <xdr:colOff>3762375</xdr:colOff>
      <xdr:row>1</xdr:row>
      <xdr:rowOff>995218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5ADAA66-6A36-A6F9-C2D7-1977CAE68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7996" y="658090"/>
          <a:ext cx="3665924" cy="669637"/>
        </a:xfrm>
        <a:prstGeom prst="rect">
          <a:avLst/>
        </a:prstGeom>
      </xdr:spPr>
    </xdr:pic>
    <xdr:clientData/>
  </xdr:twoCellAnchor>
  <xdr:twoCellAnchor editAs="oneCell">
    <xdr:from>
      <xdr:col>5</xdr:col>
      <xdr:colOff>1963503</xdr:colOff>
      <xdr:row>4</xdr:row>
      <xdr:rowOff>53975</xdr:rowOff>
    </xdr:from>
    <xdr:to>
      <xdr:col>8</xdr:col>
      <xdr:colOff>177800</xdr:colOff>
      <xdr:row>26</xdr:row>
      <xdr:rowOff>159262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5C5C88-E351-0CF9-1C54-EFCE937B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0503" y="1425575"/>
          <a:ext cx="5910497" cy="4016887"/>
        </a:xfrm>
        <a:prstGeom prst="rect">
          <a:avLst/>
        </a:prstGeom>
      </xdr:spPr>
    </xdr:pic>
    <xdr:clientData/>
  </xdr:twoCellAnchor>
  <xdr:twoCellAnchor editAs="oneCell">
    <xdr:from>
      <xdr:col>2</xdr:col>
      <xdr:colOff>1356855</xdr:colOff>
      <xdr:row>4</xdr:row>
      <xdr:rowOff>0</xdr:rowOff>
    </xdr:from>
    <xdr:to>
      <xdr:col>5</xdr:col>
      <xdr:colOff>1846265</xdr:colOff>
      <xdr:row>27</xdr:row>
      <xdr:rowOff>127000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E092EE-9B6D-41C9-888C-3F1BA9050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8855" y="1371600"/>
          <a:ext cx="6204410" cy="42164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39</xdr:row>
      <xdr:rowOff>50800</xdr:rowOff>
    </xdr:from>
    <xdr:to>
      <xdr:col>7</xdr:col>
      <xdr:colOff>2489200</xdr:colOff>
      <xdr:row>70</xdr:row>
      <xdr:rowOff>10101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CF4722-9698-BE1C-A43A-680258854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00" y="7670800"/>
          <a:ext cx="18338800" cy="5572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7DB3-1B28-4CF8-99A0-7BF9201B1819}">
  <sheetPr>
    <tabColor rgb="FFFFC000"/>
  </sheetPr>
  <dimension ref="A1:IW58"/>
  <sheetViews>
    <sheetView showGridLines="0" tabSelected="1" zoomScale="70" zoomScaleNormal="70" workbookViewId="0">
      <pane ySplit="10" topLeftCell="A36" activePane="bottomLeft" state="frozen"/>
      <selection pane="bottomLeft" activeCell="L41" sqref="L41"/>
    </sheetView>
  </sheetViews>
  <sheetFormatPr defaultColWidth="8.77734375" defaultRowHeight="14.4" x14ac:dyDescent="0.3"/>
  <cols>
    <col min="1" max="1" width="16.21875" style="9" customWidth="1"/>
    <col min="2" max="2" width="26.44140625" style="9" bestFit="1" customWidth="1"/>
    <col min="3" max="3" width="51.21875" style="9" customWidth="1"/>
    <col min="4" max="4" width="6.77734375" style="9" customWidth="1"/>
    <col min="5" max="5" width="17.21875" style="9" bestFit="1" customWidth="1"/>
    <col min="6" max="6" width="29.5546875" style="22" customWidth="1"/>
    <col min="7" max="7" width="9.21875" style="9" customWidth="1"/>
    <col min="8" max="8" width="4.21875" style="9" customWidth="1"/>
    <col min="9" max="9" width="9.21875" style="9" customWidth="1"/>
    <col min="10" max="10" width="4.21875" style="9" customWidth="1"/>
    <col min="11" max="11" width="10.77734375" style="9" customWidth="1"/>
    <col min="12" max="12" width="15.77734375" style="9" bestFit="1" customWidth="1"/>
    <col min="13" max="13" width="22.5546875" style="9" bestFit="1" customWidth="1"/>
    <col min="14" max="14" width="34.77734375" style="115" customWidth="1"/>
    <col min="15" max="15" width="26.77734375" style="23" hidden="1" customWidth="1"/>
    <col min="16" max="16" width="22.6640625" style="65" customWidth="1"/>
    <col min="17" max="17" width="8.77734375" style="69"/>
    <col min="18" max="16384" width="8.77734375" style="9"/>
  </cols>
  <sheetData>
    <row r="1" spans="1:257" ht="22.5" customHeight="1" x14ac:dyDescent="0.35">
      <c r="A1" s="4"/>
      <c r="B1" s="5"/>
      <c r="C1" s="4"/>
      <c r="D1" s="5"/>
      <c r="E1" s="4"/>
      <c r="F1" s="6"/>
      <c r="G1" s="7"/>
      <c r="H1" s="7"/>
      <c r="I1" s="7"/>
      <c r="J1" s="7"/>
      <c r="K1" s="4"/>
      <c r="L1" s="4"/>
      <c r="M1" s="4"/>
      <c r="N1" s="114"/>
      <c r="O1" s="8"/>
      <c r="P1" s="61"/>
      <c r="Q1" s="62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</row>
    <row r="2" spans="1:257" ht="19.05" customHeight="1" thickBot="1" x14ac:dyDescent="0.4">
      <c r="A2" s="4"/>
      <c r="B2" s="5"/>
      <c r="C2" s="4"/>
      <c r="D2" s="5"/>
      <c r="E2" s="4"/>
      <c r="F2" s="6"/>
      <c r="G2" s="7"/>
      <c r="H2" s="7"/>
      <c r="I2" s="7"/>
      <c r="J2" s="7"/>
      <c r="K2" s="4"/>
      <c r="L2" s="4"/>
      <c r="M2" s="4"/>
      <c r="N2" s="114"/>
      <c r="O2" s="8"/>
      <c r="P2" s="61"/>
      <c r="Q2" s="62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</row>
    <row r="3" spans="1:257" ht="22.2" x14ac:dyDescent="0.45">
      <c r="A3" s="72" t="s">
        <v>0</v>
      </c>
      <c r="B3" s="201" t="s">
        <v>154</v>
      </c>
      <c r="C3" s="202"/>
      <c r="D3" s="13"/>
      <c r="E3" s="12"/>
      <c r="F3" s="14" t="s">
        <v>1</v>
      </c>
      <c r="G3" s="15"/>
      <c r="H3" s="12"/>
      <c r="I3" s="12"/>
      <c r="J3" s="12"/>
      <c r="K3" s="12"/>
      <c r="L3" s="12"/>
      <c r="M3" s="12"/>
      <c r="O3" s="16"/>
      <c r="P3" s="63"/>
      <c r="Q3" s="6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</row>
    <row r="4" spans="1:257" ht="22.2" x14ac:dyDescent="0.45">
      <c r="A4" s="73" t="s">
        <v>2</v>
      </c>
      <c r="B4" s="76" t="s">
        <v>147</v>
      </c>
      <c r="C4" s="56"/>
      <c r="D4" s="13"/>
      <c r="E4" s="12"/>
      <c r="F4" s="14" t="s">
        <v>3</v>
      </c>
      <c r="G4" s="15"/>
      <c r="H4" s="12"/>
      <c r="I4" s="12"/>
      <c r="J4" s="12"/>
      <c r="K4" s="12"/>
      <c r="L4" s="12"/>
      <c r="M4" s="12"/>
      <c r="O4" s="16"/>
      <c r="P4" s="63"/>
      <c r="Q4" s="6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</row>
    <row r="5" spans="1:257" ht="20.55" customHeight="1" x14ac:dyDescent="0.35">
      <c r="A5" s="73" t="s">
        <v>4</v>
      </c>
      <c r="B5" s="59" t="s">
        <v>155</v>
      </c>
      <c r="C5" s="56"/>
      <c r="D5" s="17"/>
      <c r="E5" s="12"/>
      <c r="F5" s="18"/>
      <c r="G5" s="12"/>
      <c r="H5" s="12"/>
      <c r="I5" s="12"/>
      <c r="J5" s="12"/>
      <c r="K5" s="12"/>
      <c r="L5" s="12"/>
      <c r="M5" s="12"/>
      <c r="N5" s="116"/>
      <c r="O5" s="77"/>
      <c r="P5" s="63"/>
      <c r="Q5" s="6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</row>
    <row r="6" spans="1:257" ht="21.45" customHeight="1" thickBot="1" x14ac:dyDescent="0.4">
      <c r="A6" s="74" t="s">
        <v>5</v>
      </c>
      <c r="B6" s="60" t="s">
        <v>156</v>
      </c>
      <c r="C6" s="57"/>
      <c r="D6" s="17"/>
      <c r="E6" s="12"/>
      <c r="F6" s="18"/>
      <c r="G6" s="12"/>
      <c r="H6" s="12"/>
      <c r="I6" s="12"/>
      <c r="J6" s="12"/>
      <c r="K6" s="12"/>
      <c r="L6" s="12"/>
      <c r="M6" s="12"/>
      <c r="N6" s="116"/>
      <c r="O6" s="77"/>
      <c r="P6" s="63"/>
      <c r="Q6" s="6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</row>
    <row r="7" spans="1:257" ht="25.2" customHeight="1" x14ac:dyDescent="0.3">
      <c r="A7" s="12"/>
      <c r="B7" s="12"/>
      <c r="C7" s="12"/>
      <c r="D7" s="12"/>
      <c r="E7" s="12"/>
      <c r="F7" s="18"/>
      <c r="G7" s="12"/>
      <c r="H7" s="12"/>
      <c r="I7" s="12"/>
      <c r="J7" s="12"/>
      <c r="K7" s="12"/>
      <c r="L7" s="12"/>
      <c r="M7" s="12"/>
      <c r="N7" s="116"/>
      <c r="O7" s="77"/>
      <c r="P7" s="63"/>
      <c r="Q7" s="6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</row>
    <row r="8" spans="1:257" ht="18" x14ac:dyDescent="0.35">
      <c r="A8" s="19" t="s">
        <v>6</v>
      </c>
      <c r="B8" s="20"/>
      <c r="C8" s="20"/>
      <c r="D8" s="20"/>
      <c r="E8" s="20"/>
      <c r="F8" s="21"/>
      <c r="L8" s="11"/>
      <c r="M8" s="51" t="s">
        <v>7</v>
      </c>
      <c r="N8" s="117"/>
      <c r="O8" s="52"/>
      <c r="P8" s="64"/>
      <c r="Q8" s="62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</row>
    <row r="9" spans="1:257" x14ac:dyDescent="0.3">
      <c r="Q9" s="62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</row>
    <row r="10" spans="1:257" ht="55.05" customHeight="1" x14ac:dyDescent="0.3">
      <c r="A10" s="70" t="s">
        <v>8</v>
      </c>
      <c r="B10" s="24" t="s">
        <v>9</v>
      </c>
      <c r="C10" s="24" t="s">
        <v>10</v>
      </c>
      <c r="D10" s="24" t="s">
        <v>11</v>
      </c>
      <c r="E10" s="24" t="s">
        <v>12</v>
      </c>
      <c r="F10" s="25" t="s">
        <v>13</v>
      </c>
      <c r="G10" s="198" t="s">
        <v>14</v>
      </c>
      <c r="H10" s="199"/>
      <c r="I10" s="199"/>
      <c r="J10" s="199"/>
      <c r="K10" s="200"/>
      <c r="L10" s="25" t="s">
        <v>15</v>
      </c>
      <c r="M10" s="25" t="s">
        <v>16</v>
      </c>
      <c r="N10" s="112" t="s">
        <v>174</v>
      </c>
      <c r="O10" s="100" t="s">
        <v>171</v>
      </c>
      <c r="P10" s="66"/>
      <c r="Q10" s="6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  <c r="IJ10" s="28"/>
      <c r="IK10" s="28"/>
      <c r="IL10" s="28"/>
      <c r="IM10" s="28"/>
      <c r="IN10" s="28"/>
      <c r="IO10" s="28"/>
      <c r="IP10" s="28"/>
      <c r="IQ10" s="28"/>
      <c r="IR10" s="28"/>
      <c r="IS10" s="28"/>
      <c r="IT10" s="28"/>
      <c r="IU10" s="28"/>
      <c r="IV10" s="28"/>
      <c r="IW10" s="28"/>
    </row>
    <row r="11" spans="1:257" ht="54.75" customHeight="1" x14ac:dyDescent="0.3">
      <c r="A11" s="119">
        <v>1</v>
      </c>
      <c r="B11" s="119">
        <v>5181737</v>
      </c>
      <c r="C11" s="120" t="s">
        <v>148</v>
      </c>
      <c r="D11" s="119">
        <v>1</v>
      </c>
      <c r="E11" s="121" t="s">
        <v>18</v>
      </c>
      <c r="F11" s="122" t="s">
        <v>19</v>
      </c>
      <c r="G11" s="119">
        <v>7700</v>
      </c>
      <c r="H11" s="119" t="s">
        <v>20</v>
      </c>
      <c r="I11" s="119">
        <v>1870</v>
      </c>
      <c r="J11" s="119" t="s">
        <v>20</v>
      </c>
      <c r="K11" s="119">
        <v>1950</v>
      </c>
      <c r="L11" s="123">
        <v>40300</v>
      </c>
      <c r="M11" s="124">
        <v>40300</v>
      </c>
      <c r="N11" s="101">
        <v>1</v>
      </c>
      <c r="O11" s="108">
        <v>38400</v>
      </c>
      <c r="P11" s="189">
        <v>405000</v>
      </c>
      <c r="Q11" s="68">
        <f t="shared" ref="Q11:Q30" si="0">+L11-M11</f>
        <v>0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</row>
    <row r="12" spans="1:257" ht="49.95" customHeight="1" x14ac:dyDescent="0.3">
      <c r="A12" s="125">
        <v>2</v>
      </c>
      <c r="B12" s="125">
        <v>5181736</v>
      </c>
      <c r="C12" s="126" t="s">
        <v>149</v>
      </c>
      <c r="D12" s="125">
        <v>1</v>
      </c>
      <c r="E12" s="127" t="s">
        <v>18</v>
      </c>
      <c r="F12" s="128" t="s">
        <v>19</v>
      </c>
      <c r="G12" s="125">
        <v>7700</v>
      </c>
      <c r="H12" s="125" t="s">
        <v>20</v>
      </c>
      <c r="I12" s="125">
        <v>1870</v>
      </c>
      <c r="J12" s="125" t="s">
        <v>20</v>
      </c>
      <c r="K12" s="125">
        <v>1950</v>
      </c>
      <c r="L12" s="129">
        <v>40300</v>
      </c>
      <c r="M12" s="130">
        <v>40300</v>
      </c>
      <c r="N12" s="101">
        <v>2</v>
      </c>
      <c r="O12" s="108">
        <v>38400</v>
      </c>
      <c r="P12" s="189">
        <v>405000</v>
      </c>
      <c r="Q12" s="68">
        <f t="shared" si="0"/>
        <v>0</v>
      </c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spans="1:257" ht="69" customHeight="1" x14ac:dyDescent="0.3">
      <c r="A13" s="131">
        <v>3</v>
      </c>
      <c r="B13" s="131">
        <v>4689403</v>
      </c>
      <c r="C13" s="132" t="s">
        <v>150</v>
      </c>
      <c r="D13" s="131">
        <v>1</v>
      </c>
      <c r="E13" s="133" t="s">
        <v>18</v>
      </c>
      <c r="F13" s="134" t="s">
        <v>21</v>
      </c>
      <c r="G13" s="131">
        <v>5550</v>
      </c>
      <c r="H13" s="131" t="s">
        <v>20</v>
      </c>
      <c r="I13" s="131">
        <v>3400</v>
      </c>
      <c r="J13" s="131" t="s">
        <v>20</v>
      </c>
      <c r="K13" s="131">
        <v>1810</v>
      </c>
      <c r="L13" s="135">
        <v>28700</v>
      </c>
      <c r="M13" s="136">
        <v>28700</v>
      </c>
      <c r="N13" s="101">
        <v>3</v>
      </c>
      <c r="O13" s="108">
        <v>25000</v>
      </c>
      <c r="P13" s="189">
        <v>360000</v>
      </c>
      <c r="Q13" s="68">
        <f t="shared" si="0"/>
        <v>0</v>
      </c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spans="1:257" ht="49.95" customHeight="1" x14ac:dyDescent="0.3">
      <c r="A14" s="137">
        <v>4</v>
      </c>
      <c r="B14" s="137">
        <v>5461606</v>
      </c>
      <c r="C14" s="138" t="s">
        <v>151</v>
      </c>
      <c r="D14" s="137">
        <v>1</v>
      </c>
      <c r="E14" s="139" t="s">
        <v>18</v>
      </c>
      <c r="F14" s="140" t="s">
        <v>19</v>
      </c>
      <c r="G14" s="137">
        <v>8520</v>
      </c>
      <c r="H14" s="137" t="s">
        <v>20</v>
      </c>
      <c r="I14" s="137">
        <v>3120</v>
      </c>
      <c r="J14" s="137" t="s">
        <v>20</v>
      </c>
      <c r="K14" s="137">
        <v>2660</v>
      </c>
      <c r="L14" s="141">
        <v>35400</v>
      </c>
      <c r="M14" s="142">
        <v>35400</v>
      </c>
      <c r="N14" s="101">
        <v>4</v>
      </c>
      <c r="O14" s="108">
        <v>34750</v>
      </c>
      <c r="P14" s="189">
        <v>410000</v>
      </c>
      <c r="Q14" s="68">
        <f t="shared" si="0"/>
        <v>0</v>
      </c>
      <c r="R14" s="35"/>
      <c r="S14" s="35"/>
      <c r="T14" s="35"/>
      <c r="U14" s="113" t="s">
        <v>172</v>
      </c>
      <c r="V14" s="36" t="s">
        <v>172</v>
      </c>
      <c r="W14" s="36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spans="1:257" ht="88.8" x14ac:dyDescent="0.3">
      <c r="A15" s="190">
        <v>5</v>
      </c>
      <c r="B15" s="190">
        <v>6002378</v>
      </c>
      <c r="C15" s="191" t="s">
        <v>170</v>
      </c>
      <c r="D15" s="190">
        <v>1</v>
      </c>
      <c r="E15" s="192" t="s">
        <v>18</v>
      </c>
      <c r="F15" s="193" t="s">
        <v>21</v>
      </c>
      <c r="G15" s="194">
        <v>5500</v>
      </c>
      <c r="H15" s="190" t="s">
        <v>20</v>
      </c>
      <c r="I15" s="194">
        <v>4050</v>
      </c>
      <c r="J15" s="190" t="s">
        <v>20</v>
      </c>
      <c r="K15" s="190">
        <v>3100</v>
      </c>
      <c r="L15" s="195">
        <v>24900</v>
      </c>
      <c r="M15" s="196">
        <v>24800</v>
      </c>
      <c r="N15" s="101">
        <v>5</v>
      </c>
      <c r="O15" s="108">
        <v>24200</v>
      </c>
      <c r="P15" s="189">
        <v>360000</v>
      </c>
      <c r="Q15" s="68">
        <f t="shared" si="0"/>
        <v>100</v>
      </c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</row>
    <row r="16" spans="1:257" ht="49.95" customHeight="1" x14ac:dyDescent="0.3">
      <c r="A16" s="190">
        <v>12</v>
      </c>
      <c r="B16" s="190" t="s">
        <v>26</v>
      </c>
      <c r="C16" s="197" t="s">
        <v>29</v>
      </c>
      <c r="D16" s="190">
        <v>1</v>
      </c>
      <c r="E16" s="192" t="s">
        <v>27</v>
      </c>
      <c r="F16" s="193" t="s">
        <v>28</v>
      </c>
      <c r="G16" s="190">
        <v>2400</v>
      </c>
      <c r="H16" s="190" t="s">
        <v>20</v>
      </c>
      <c r="I16" s="190">
        <v>1400</v>
      </c>
      <c r="J16" s="190" t="s">
        <v>20</v>
      </c>
      <c r="K16" s="190">
        <v>1000</v>
      </c>
      <c r="L16" s="196">
        <v>365</v>
      </c>
      <c r="M16" s="196">
        <v>114</v>
      </c>
      <c r="N16" s="101">
        <v>5</v>
      </c>
      <c r="O16" s="108">
        <v>620</v>
      </c>
      <c r="P16" s="189"/>
      <c r="Q16" s="68">
        <f t="shared" si="0"/>
        <v>251</v>
      </c>
      <c r="R16" s="7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spans="1:257" ht="49.95" customHeight="1" x14ac:dyDescent="0.3">
      <c r="A17" s="190">
        <v>19</v>
      </c>
      <c r="B17" s="190" t="s">
        <v>26</v>
      </c>
      <c r="C17" s="197" t="s">
        <v>36</v>
      </c>
      <c r="D17" s="190">
        <v>1</v>
      </c>
      <c r="E17" s="192" t="s">
        <v>27</v>
      </c>
      <c r="F17" s="193" t="s">
        <v>28</v>
      </c>
      <c r="G17" s="190">
        <v>3000</v>
      </c>
      <c r="H17" s="190" t="s">
        <v>20</v>
      </c>
      <c r="I17" s="190">
        <v>2000</v>
      </c>
      <c r="J17" s="190" t="s">
        <v>20</v>
      </c>
      <c r="K17" s="190">
        <v>1000</v>
      </c>
      <c r="L17" s="196">
        <v>1917</v>
      </c>
      <c r="M17" s="196">
        <v>1716</v>
      </c>
      <c r="N17" s="101">
        <v>5</v>
      </c>
      <c r="O17" s="108">
        <v>2570</v>
      </c>
      <c r="P17" s="189"/>
      <c r="Q17" s="68">
        <f t="shared" si="0"/>
        <v>201</v>
      </c>
      <c r="R17" s="7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spans="1:257" ht="49.95" customHeight="1" x14ac:dyDescent="0.3">
      <c r="A18" s="143">
        <v>8</v>
      </c>
      <c r="B18" s="143">
        <v>5649700</v>
      </c>
      <c r="C18" s="144" t="s">
        <v>24</v>
      </c>
      <c r="D18" s="143">
        <v>1</v>
      </c>
      <c r="E18" s="145" t="s">
        <v>18</v>
      </c>
      <c r="F18" s="146" t="s">
        <v>19</v>
      </c>
      <c r="G18" s="147">
        <v>6300</v>
      </c>
      <c r="H18" s="143" t="s">
        <v>20</v>
      </c>
      <c r="I18" s="147">
        <v>1350</v>
      </c>
      <c r="J18" s="143" t="s">
        <v>20</v>
      </c>
      <c r="K18" s="143">
        <v>3000</v>
      </c>
      <c r="L18" s="148">
        <v>34700</v>
      </c>
      <c r="M18" s="149">
        <v>34700</v>
      </c>
      <c r="N18" s="101">
        <v>6</v>
      </c>
      <c r="O18" s="108">
        <v>33500</v>
      </c>
      <c r="P18" s="189">
        <v>420000</v>
      </c>
      <c r="Q18" s="68">
        <f t="shared" si="0"/>
        <v>0</v>
      </c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spans="1:257" ht="49.95" customHeight="1" x14ac:dyDescent="0.3">
      <c r="A19" s="150">
        <v>9</v>
      </c>
      <c r="B19" s="150">
        <v>5944236</v>
      </c>
      <c r="C19" s="151" t="s">
        <v>152</v>
      </c>
      <c r="D19" s="150">
        <v>1</v>
      </c>
      <c r="E19" s="152" t="s">
        <v>18</v>
      </c>
      <c r="F19" s="153" t="s">
        <v>19</v>
      </c>
      <c r="G19" s="150">
        <v>9400</v>
      </c>
      <c r="H19" s="150" t="s">
        <v>20</v>
      </c>
      <c r="I19" s="150">
        <v>2700</v>
      </c>
      <c r="J19" s="150" t="s">
        <v>20</v>
      </c>
      <c r="K19" s="150">
        <v>3750</v>
      </c>
      <c r="L19" s="154">
        <v>28400</v>
      </c>
      <c r="M19" s="155">
        <v>28400</v>
      </c>
      <c r="N19" s="101">
        <v>7</v>
      </c>
      <c r="O19" s="108">
        <v>27600</v>
      </c>
      <c r="P19" s="189">
        <v>360000</v>
      </c>
      <c r="Q19" s="68">
        <f t="shared" si="0"/>
        <v>0</v>
      </c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</row>
    <row r="20" spans="1:257" ht="49.95" customHeight="1" x14ac:dyDescent="0.3">
      <c r="A20" s="156">
        <v>6</v>
      </c>
      <c r="B20" s="156">
        <v>5461607</v>
      </c>
      <c r="C20" s="157" t="s">
        <v>175</v>
      </c>
      <c r="D20" s="156">
        <v>1</v>
      </c>
      <c r="E20" s="158" t="s">
        <v>18</v>
      </c>
      <c r="F20" s="159" t="s">
        <v>19</v>
      </c>
      <c r="G20" s="156">
        <v>3640</v>
      </c>
      <c r="H20" s="156" t="s">
        <v>20</v>
      </c>
      <c r="I20" s="156">
        <v>1900</v>
      </c>
      <c r="J20" s="156" t="s">
        <v>20</v>
      </c>
      <c r="K20" s="160">
        <v>3160</v>
      </c>
      <c r="L20" s="161">
        <v>5700</v>
      </c>
      <c r="M20" s="161">
        <v>5700</v>
      </c>
      <c r="N20" s="101">
        <v>8</v>
      </c>
      <c r="O20" s="108">
        <v>4100</v>
      </c>
      <c r="P20" s="206">
        <v>305000</v>
      </c>
      <c r="Q20" s="68">
        <f t="shared" si="0"/>
        <v>0</v>
      </c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spans="1:257" ht="49.95" customHeight="1" x14ac:dyDescent="0.3">
      <c r="A21" s="156">
        <v>7</v>
      </c>
      <c r="B21" s="156">
        <v>5461608</v>
      </c>
      <c r="C21" s="157" t="s">
        <v>23</v>
      </c>
      <c r="D21" s="156">
        <v>1</v>
      </c>
      <c r="E21" s="158" t="s">
        <v>18</v>
      </c>
      <c r="F21" s="159" t="s">
        <v>19</v>
      </c>
      <c r="G21" s="156">
        <v>3900</v>
      </c>
      <c r="H21" s="156" t="s">
        <v>20</v>
      </c>
      <c r="I21" s="156">
        <v>1550</v>
      </c>
      <c r="J21" s="156" t="s">
        <v>20</v>
      </c>
      <c r="K21" s="156">
        <v>2900</v>
      </c>
      <c r="L21" s="162">
        <v>5400</v>
      </c>
      <c r="M21" s="161">
        <v>5400</v>
      </c>
      <c r="N21" s="101">
        <v>8</v>
      </c>
      <c r="O21" s="108">
        <v>4900</v>
      </c>
      <c r="P21" s="206"/>
      <c r="Q21" s="68">
        <f t="shared" si="0"/>
        <v>0</v>
      </c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spans="1:257" ht="49.95" customHeight="1" x14ac:dyDescent="0.3">
      <c r="A22" s="156">
        <v>15</v>
      </c>
      <c r="B22" s="156" t="s">
        <v>26</v>
      </c>
      <c r="C22" s="157" t="s">
        <v>32</v>
      </c>
      <c r="D22" s="156">
        <v>1</v>
      </c>
      <c r="E22" s="158" t="s">
        <v>27</v>
      </c>
      <c r="F22" s="159" t="s">
        <v>28</v>
      </c>
      <c r="G22" s="160">
        <v>3760</v>
      </c>
      <c r="H22" s="156" t="s">
        <v>20</v>
      </c>
      <c r="I22" s="160">
        <v>2760</v>
      </c>
      <c r="J22" s="156" t="s">
        <v>20</v>
      </c>
      <c r="K22" s="156">
        <v>3000</v>
      </c>
      <c r="L22" s="161">
        <v>4294</v>
      </c>
      <c r="M22" s="161">
        <v>3293</v>
      </c>
      <c r="N22" s="101">
        <v>8</v>
      </c>
      <c r="O22" s="108">
        <v>4900</v>
      </c>
      <c r="P22" s="206"/>
      <c r="Q22" s="68">
        <f t="shared" si="0"/>
        <v>1001</v>
      </c>
      <c r="R22" s="7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spans="1:257" ht="49.95" customHeight="1" x14ac:dyDescent="0.3">
      <c r="A23" s="182">
        <v>17</v>
      </c>
      <c r="B23" s="182" t="s">
        <v>26</v>
      </c>
      <c r="C23" s="183" t="s">
        <v>34</v>
      </c>
      <c r="D23" s="182">
        <v>1</v>
      </c>
      <c r="E23" s="184" t="s">
        <v>27</v>
      </c>
      <c r="F23" s="185" t="s">
        <v>28</v>
      </c>
      <c r="G23" s="186">
        <v>1600</v>
      </c>
      <c r="H23" s="182" t="s">
        <v>20</v>
      </c>
      <c r="I23" s="186">
        <v>1170</v>
      </c>
      <c r="J23" s="182" t="s">
        <v>20</v>
      </c>
      <c r="K23" s="186">
        <v>1260</v>
      </c>
      <c r="L23" s="187">
        <v>335</v>
      </c>
      <c r="M23" s="187">
        <v>185</v>
      </c>
      <c r="N23" s="101">
        <v>11</v>
      </c>
      <c r="O23" s="108">
        <v>420</v>
      </c>
      <c r="P23" s="203" t="s">
        <v>180</v>
      </c>
      <c r="Q23" s="68">
        <f t="shared" si="0"/>
        <v>150</v>
      </c>
      <c r="R23" s="7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</row>
    <row r="24" spans="1:257" ht="49.95" customHeight="1" x14ac:dyDescent="0.3">
      <c r="A24" s="182">
        <v>18</v>
      </c>
      <c r="B24" s="182" t="s">
        <v>26</v>
      </c>
      <c r="C24" s="183" t="s">
        <v>35</v>
      </c>
      <c r="D24" s="182">
        <v>1</v>
      </c>
      <c r="E24" s="184" t="s">
        <v>27</v>
      </c>
      <c r="F24" s="185" t="s">
        <v>28</v>
      </c>
      <c r="G24" s="186">
        <v>1980</v>
      </c>
      <c r="H24" s="182" t="s">
        <v>20</v>
      </c>
      <c r="I24" s="186">
        <v>1520</v>
      </c>
      <c r="J24" s="182" t="s">
        <v>20</v>
      </c>
      <c r="K24" s="186">
        <v>2328</v>
      </c>
      <c r="L24" s="188">
        <v>1956</v>
      </c>
      <c r="M24" s="187">
        <v>1756</v>
      </c>
      <c r="N24" s="118">
        <v>11</v>
      </c>
      <c r="O24" s="108">
        <v>940</v>
      </c>
      <c r="P24" s="203"/>
      <c r="Q24" s="68">
        <f t="shared" si="0"/>
        <v>200</v>
      </c>
      <c r="R24" s="7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</row>
    <row r="25" spans="1:257" ht="49.95" customHeight="1" x14ac:dyDescent="0.3">
      <c r="A25" s="182">
        <v>21</v>
      </c>
      <c r="B25" s="182" t="s">
        <v>26</v>
      </c>
      <c r="C25" s="183" t="s">
        <v>38</v>
      </c>
      <c r="D25" s="182">
        <v>1</v>
      </c>
      <c r="E25" s="184" t="s">
        <v>27</v>
      </c>
      <c r="F25" s="185" t="s">
        <v>39</v>
      </c>
      <c r="G25" s="182">
        <v>6500</v>
      </c>
      <c r="H25" s="182" t="s">
        <v>20</v>
      </c>
      <c r="I25" s="182">
        <v>1100</v>
      </c>
      <c r="J25" s="182" t="s">
        <v>20</v>
      </c>
      <c r="K25" s="182">
        <v>2350</v>
      </c>
      <c r="L25" s="187">
        <v>1483</v>
      </c>
      <c r="M25" s="187">
        <v>1183</v>
      </c>
      <c r="N25" s="101">
        <v>11</v>
      </c>
      <c r="O25" s="108">
        <v>1778</v>
      </c>
      <c r="P25" s="203"/>
      <c r="Q25" s="68">
        <f t="shared" si="0"/>
        <v>300</v>
      </c>
      <c r="R25" s="7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</row>
    <row r="26" spans="1:257" ht="49.95" customHeight="1" x14ac:dyDescent="0.3">
      <c r="A26" s="182">
        <v>22</v>
      </c>
      <c r="B26" s="182" t="s">
        <v>26</v>
      </c>
      <c r="C26" s="183" t="s">
        <v>40</v>
      </c>
      <c r="D26" s="182">
        <v>1</v>
      </c>
      <c r="E26" s="184" t="s">
        <v>27</v>
      </c>
      <c r="F26" s="185" t="s">
        <v>39</v>
      </c>
      <c r="G26" s="182">
        <v>4300</v>
      </c>
      <c r="H26" s="182" t="s">
        <v>20</v>
      </c>
      <c r="I26" s="186">
        <v>1000</v>
      </c>
      <c r="J26" s="182" t="s">
        <v>20</v>
      </c>
      <c r="K26" s="182">
        <v>2400</v>
      </c>
      <c r="L26" s="187">
        <v>582</v>
      </c>
      <c r="M26" s="187">
        <v>382</v>
      </c>
      <c r="N26" s="101">
        <v>11</v>
      </c>
      <c r="O26" s="108">
        <v>420</v>
      </c>
      <c r="P26" s="203"/>
      <c r="Q26" s="68">
        <f t="shared" si="0"/>
        <v>200</v>
      </c>
      <c r="R26" s="7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</row>
    <row r="27" spans="1:257" ht="49.95" customHeight="1" x14ac:dyDescent="0.3">
      <c r="A27" s="176">
        <v>23</v>
      </c>
      <c r="B27" s="176" t="s">
        <v>26</v>
      </c>
      <c r="C27" s="177" t="s">
        <v>41</v>
      </c>
      <c r="D27" s="176">
        <v>1</v>
      </c>
      <c r="E27" s="178" t="s">
        <v>27</v>
      </c>
      <c r="F27" s="179" t="s">
        <v>28</v>
      </c>
      <c r="G27" s="176">
        <v>4000</v>
      </c>
      <c r="H27" s="176" t="s">
        <v>20</v>
      </c>
      <c r="I27" s="176">
        <v>1800</v>
      </c>
      <c r="J27" s="176" t="s">
        <v>20</v>
      </c>
      <c r="K27" s="176">
        <v>950</v>
      </c>
      <c r="L27" s="180">
        <v>1082</v>
      </c>
      <c r="M27" s="180">
        <v>782</v>
      </c>
      <c r="N27" s="101" t="s">
        <v>179</v>
      </c>
      <c r="O27" s="108">
        <v>1515</v>
      </c>
      <c r="P27" s="204" t="s">
        <v>181</v>
      </c>
      <c r="Q27" s="99">
        <f t="shared" si="0"/>
        <v>300</v>
      </c>
      <c r="R27" s="7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</row>
    <row r="28" spans="1:257" ht="49.95" customHeight="1" x14ac:dyDescent="0.3">
      <c r="A28" s="176">
        <v>16</v>
      </c>
      <c r="B28" s="176" t="s">
        <v>26</v>
      </c>
      <c r="C28" s="177" t="s">
        <v>33</v>
      </c>
      <c r="D28" s="176">
        <v>1</v>
      </c>
      <c r="E28" s="178" t="s">
        <v>27</v>
      </c>
      <c r="F28" s="179" t="s">
        <v>28</v>
      </c>
      <c r="G28" s="181">
        <v>1800</v>
      </c>
      <c r="H28" s="176" t="s">
        <v>20</v>
      </c>
      <c r="I28" s="176">
        <v>800</v>
      </c>
      <c r="J28" s="176" t="s">
        <v>20</v>
      </c>
      <c r="K28" s="176">
        <v>850</v>
      </c>
      <c r="L28" s="180">
        <v>252</v>
      </c>
      <c r="M28" s="180">
        <v>102</v>
      </c>
      <c r="N28" s="101" t="s">
        <v>179</v>
      </c>
      <c r="O28" s="108">
        <v>360</v>
      </c>
      <c r="P28" s="204"/>
      <c r="Q28" s="68">
        <f t="shared" si="0"/>
        <v>150</v>
      </c>
      <c r="R28" s="7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</row>
    <row r="29" spans="1:257" ht="49.95" customHeight="1" x14ac:dyDescent="0.3">
      <c r="A29" s="176">
        <v>14</v>
      </c>
      <c r="B29" s="176" t="s">
        <v>26</v>
      </c>
      <c r="C29" s="177" t="s">
        <v>31</v>
      </c>
      <c r="D29" s="176">
        <v>1</v>
      </c>
      <c r="E29" s="178" t="s">
        <v>27</v>
      </c>
      <c r="F29" s="179" t="s">
        <v>28</v>
      </c>
      <c r="G29" s="176">
        <v>4000</v>
      </c>
      <c r="H29" s="176" t="s">
        <v>20</v>
      </c>
      <c r="I29" s="181">
        <v>1600</v>
      </c>
      <c r="J29" s="176" t="s">
        <v>20</v>
      </c>
      <c r="K29" s="176">
        <v>800</v>
      </c>
      <c r="L29" s="180">
        <v>830</v>
      </c>
      <c r="M29" s="180">
        <v>480</v>
      </c>
      <c r="N29" s="101" t="s">
        <v>179</v>
      </c>
      <c r="O29" s="108">
        <v>980</v>
      </c>
      <c r="P29" s="204"/>
      <c r="Q29" s="68">
        <f t="shared" si="0"/>
        <v>350</v>
      </c>
      <c r="R29" s="7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</row>
    <row r="30" spans="1:257" ht="49.95" customHeight="1" x14ac:dyDescent="0.3">
      <c r="A30" s="176">
        <v>20</v>
      </c>
      <c r="B30" s="176" t="s">
        <v>26</v>
      </c>
      <c r="C30" s="177" t="s">
        <v>37</v>
      </c>
      <c r="D30" s="176">
        <v>1</v>
      </c>
      <c r="E30" s="178" t="s">
        <v>27</v>
      </c>
      <c r="F30" s="179" t="s">
        <v>28</v>
      </c>
      <c r="G30" s="176">
        <v>4000</v>
      </c>
      <c r="H30" s="176" t="s">
        <v>20</v>
      </c>
      <c r="I30" s="181">
        <v>2000</v>
      </c>
      <c r="J30" s="176" t="s">
        <v>20</v>
      </c>
      <c r="K30" s="176">
        <v>1700</v>
      </c>
      <c r="L30" s="180">
        <v>777</v>
      </c>
      <c r="M30" s="180">
        <v>577</v>
      </c>
      <c r="N30" s="101" t="s">
        <v>179</v>
      </c>
      <c r="O30" s="108">
        <v>1400</v>
      </c>
      <c r="P30" s="204"/>
      <c r="Q30" s="68">
        <f t="shared" si="0"/>
        <v>200</v>
      </c>
      <c r="R30" s="7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</row>
    <row r="31" spans="1:257" ht="49.95" customHeight="1" x14ac:dyDescent="0.3">
      <c r="A31" s="176">
        <v>29</v>
      </c>
      <c r="B31" s="176" t="s">
        <v>26</v>
      </c>
      <c r="C31" s="177" t="s">
        <v>47</v>
      </c>
      <c r="D31" s="176">
        <v>1</v>
      </c>
      <c r="E31" s="178" t="s">
        <v>27</v>
      </c>
      <c r="F31" s="179" t="s">
        <v>28</v>
      </c>
      <c r="G31" s="176">
        <v>1500</v>
      </c>
      <c r="H31" s="176" t="s">
        <v>20</v>
      </c>
      <c r="I31" s="176">
        <v>1000</v>
      </c>
      <c r="J31" s="176" t="s">
        <v>20</v>
      </c>
      <c r="K31" s="176">
        <v>900</v>
      </c>
      <c r="L31" s="180">
        <v>453</v>
      </c>
      <c r="M31" s="180">
        <v>253</v>
      </c>
      <c r="N31" s="102" t="s">
        <v>178</v>
      </c>
      <c r="O31" s="109"/>
      <c r="P31" s="204"/>
      <c r="Q31" s="99">
        <f>L31-M31</f>
        <v>200</v>
      </c>
      <c r="R31" s="7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</row>
    <row r="32" spans="1:257" ht="49.95" customHeight="1" x14ac:dyDescent="0.3">
      <c r="A32" s="176">
        <v>25</v>
      </c>
      <c r="B32" s="176" t="s">
        <v>26</v>
      </c>
      <c r="C32" s="177" t="s">
        <v>43</v>
      </c>
      <c r="D32" s="176">
        <v>1</v>
      </c>
      <c r="E32" s="178" t="s">
        <v>27</v>
      </c>
      <c r="F32" s="179" t="s">
        <v>28</v>
      </c>
      <c r="G32" s="181">
        <v>4800</v>
      </c>
      <c r="H32" s="176" t="s">
        <v>20</v>
      </c>
      <c r="I32" s="176">
        <v>920</v>
      </c>
      <c r="J32" s="176" t="s">
        <v>20</v>
      </c>
      <c r="K32" s="176">
        <v>1060</v>
      </c>
      <c r="L32" s="180">
        <v>5530</v>
      </c>
      <c r="M32" s="180">
        <v>5230</v>
      </c>
      <c r="N32" s="101" t="s">
        <v>178</v>
      </c>
      <c r="O32" s="108">
        <v>6430</v>
      </c>
      <c r="P32" s="204"/>
      <c r="Q32" s="68">
        <f>+L32-M32</f>
        <v>300</v>
      </c>
      <c r="R32" s="7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</row>
    <row r="33" spans="1:257" ht="49.95" customHeight="1" x14ac:dyDescent="0.3">
      <c r="A33" s="176">
        <v>11</v>
      </c>
      <c r="B33" s="176" t="s">
        <v>26</v>
      </c>
      <c r="C33" s="177" t="s">
        <v>173</v>
      </c>
      <c r="D33" s="176">
        <v>1</v>
      </c>
      <c r="E33" s="178" t="s">
        <v>27</v>
      </c>
      <c r="F33" s="179" t="s">
        <v>28</v>
      </c>
      <c r="G33" s="176">
        <v>3000</v>
      </c>
      <c r="H33" s="176" t="s">
        <v>20</v>
      </c>
      <c r="I33" s="181">
        <v>1500</v>
      </c>
      <c r="J33" s="176" t="s">
        <v>20</v>
      </c>
      <c r="K33" s="176">
        <v>1000</v>
      </c>
      <c r="L33" s="180">
        <v>1140</v>
      </c>
      <c r="M33" s="180">
        <v>940</v>
      </c>
      <c r="N33" s="101" t="s">
        <v>178</v>
      </c>
      <c r="O33" s="108">
        <v>1860</v>
      </c>
      <c r="P33" s="204"/>
      <c r="Q33" s="68">
        <f>L33-M33</f>
        <v>200</v>
      </c>
      <c r="R33" s="7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</row>
    <row r="34" spans="1:257" ht="49.95" customHeight="1" x14ac:dyDescent="0.3">
      <c r="A34" s="176">
        <v>30</v>
      </c>
      <c r="B34" s="176" t="s">
        <v>26</v>
      </c>
      <c r="C34" s="177" t="s">
        <v>48</v>
      </c>
      <c r="D34" s="176">
        <v>1</v>
      </c>
      <c r="E34" s="178" t="s">
        <v>27</v>
      </c>
      <c r="F34" s="179" t="s">
        <v>28</v>
      </c>
      <c r="G34" s="176">
        <v>1200</v>
      </c>
      <c r="H34" s="176" t="s">
        <v>20</v>
      </c>
      <c r="I34" s="176">
        <v>1000</v>
      </c>
      <c r="J34" s="176" t="s">
        <v>20</v>
      </c>
      <c r="K34" s="176">
        <v>630</v>
      </c>
      <c r="L34" s="180">
        <v>325</v>
      </c>
      <c r="M34" s="180">
        <v>225</v>
      </c>
      <c r="N34" s="102" t="s">
        <v>178</v>
      </c>
      <c r="O34" s="109"/>
      <c r="P34" s="204"/>
      <c r="Q34" s="99"/>
      <c r="R34" s="7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</row>
    <row r="35" spans="1:257" ht="49.95" customHeight="1" x14ac:dyDescent="0.3">
      <c r="A35" s="163">
        <v>10</v>
      </c>
      <c r="B35" s="163">
        <v>5944237</v>
      </c>
      <c r="C35" s="164" t="s">
        <v>153</v>
      </c>
      <c r="D35" s="163">
        <v>1</v>
      </c>
      <c r="E35" s="165" t="s">
        <v>18</v>
      </c>
      <c r="F35" s="166" t="s">
        <v>19</v>
      </c>
      <c r="G35" s="163">
        <v>6200</v>
      </c>
      <c r="H35" s="163" t="s">
        <v>20</v>
      </c>
      <c r="I35" s="163">
        <v>2200</v>
      </c>
      <c r="J35" s="163" t="s">
        <v>20</v>
      </c>
      <c r="K35" s="163">
        <v>2670</v>
      </c>
      <c r="L35" s="167">
        <v>16300</v>
      </c>
      <c r="M35" s="167">
        <v>16300</v>
      </c>
      <c r="N35" s="101" t="s">
        <v>177</v>
      </c>
      <c r="O35" s="108">
        <v>16950</v>
      </c>
      <c r="P35" s="205" t="s">
        <v>182</v>
      </c>
      <c r="Q35" s="68">
        <f>+L35-M35</f>
        <v>0</v>
      </c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</row>
    <row r="36" spans="1:257" ht="49.95" customHeight="1" x14ac:dyDescent="0.3">
      <c r="A36" s="163">
        <v>27</v>
      </c>
      <c r="B36" s="163" t="s">
        <v>26</v>
      </c>
      <c r="C36" s="168" t="s">
        <v>45</v>
      </c>
      <c r="D36" s="163">
        <v>1</v>
      </c>
      <c r="E36" s="165" t="s">
        <v>27</v>
      </c>
      <c r="F36" s="166" t="s">
        <v>28</v>
      </c>
      <c r="G36" s="163">
        <v>2000</v>
      </c>
      <c r="H36" s="163" t="s">
        <v>20</v>
      </c>
      <c r="I36" s="163">
        <v>1200</v>
      </c>
      <c r="J36" s="163" t="s">
        <v>20</v>
      </c>
      <c r="K36" s="163">
        <v>1240</v>
      </c>
      <c r="L36" s="167">
        <v>259</v>
      </c>
      <c r="M36" s="169">
        <v>108</v>
      </c>
      <c r="N36" s="102" t="s">
        <v>177</v>
      </c>
      <c r="O36" s="109"/>
      <c r="P36" s="205"/>
      <c r="Q36" s="99"/>
      <c r="R36" s="7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</row>
    <row r="37" spans="1:257" ht="49.95" customHeight="1" x14ac:dyDescent="0.3">
      <c r="A37" s="163">
        <v>28</v>
      </c>
      <c r="B37" s="163" t="s">
        <v>26</v>
      </c>
      <c r="C37" s="168" t="s">
        <v>46</v>
      </c>
      <c r="D37" s="163">
        <v>1</v>
      </c>
      <c r="E37" s="165" t="s">
        <v>27</v>
      </c>
      <c r="F37" s="166" t="s">
        <v>28</v>
      </c>
      <c r="G37" s="163">
        <v>2000</v>
      </c>
      <c r="H37" s="163" t="s">
        <v>20</v>
      </c>
      <c r="I37" s="163">
        <v>1200</v>
      </c>
      <c r="J37" s="163" t="s">
        <v>20</v>
      </c>
      <c r="K37" s="163">
        <v>1240</v>
      </c>
      <c r="L37" s="167">
        <v>259</v>
      </c>
      <c r="M37" s="169">
        <v>108</v>
      </c>
      <c r="N37" s="102" t="s">
        <v>177</v>
      </c>
      <c r="O37" s="109"/>
      <c r="P37" s="205"/>
      <c r="Q37" s="99"/>
      <c r="R37" s="7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</row>
    <row r="38" spans="1:257" ht="49.95" customHeight="1" x14ac:dyDescent="0.3">
      <c r="A38" s="163">
        <v>31</v>
      </c>
      <c r="B38" s="163" t="s">
        <v>26</v>
      </c>
      <c r="C38" s="168" t="s">
        <v>49</v>
      </c>
      <c r="D38" s="163">
        <v>1</v>
      </c>
      <c r="E38" s="165" t="s">
        <v>27</v>
      </c>
      <c r="F38" s="166" t="s">
        <v>50</v>
      </c>
      <c r="G38" s="163">
        <v>1800</v>
      </c>
      <c r="H38" s="163" t="s">
        <v>20</v>
      </c>
      <c r="I38" s="163">
        <v>1700</v>
      </c>
      <c r="J38" s="163" t="s">
        <v>20</v>
      </c>
      <c r="K38" s="163">
        <v>250</v>
      </c>
      <c r="L38" s="167">
        <v>249</v>
      </c>
      <c r="M38" s="169">
        <v>158</v>
      </c>
      <c r="N38" s="102" t="s">
        <v>177</v>
      </c>
      <c r="O38" s="109"/>
      <c r="P38" s="205"/>
      <c r="Q38" s="68">
        <f>+L38-M38</f>
        <v>91</v>
      </c>
      <c r="R38" s="75"/>
      <c r="S38" s="45"/>
      <c r="T38" s="46"/>
      <c r="U38" s="46"/>
      <c r="V38" s="46"/>
      <c r="W38" s="47"/>
      <c r="X38" s="48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</row>
    <row r="39" spans="1:257" ht="49.95" customHeight="1" x14ac:dyDescent="0.3">
      <c r="A39" s="163">
        <v>13</v>
      </c>
      <c r="B39" s="163" t="s">
        <v>26</v>
      </c>
      <c r="C39" s="168" t="s">
        <v>30</v>
      </c>
      <c r="D39" s="163">
        <v>1</v>
      </c>
      <c r="E39" s="165" t="s">
        <v>27</v>
      </c>
      <c r="F39" s="166" t="s">
        <v>28</v>
      </c>
      <c r="G39" s="163">
        <v>1500</v>
      </c>
      <c r="H39" s="163" t="s">
        <v>20</v>
      </c>
      <c r="I39" s="163">
        <v>1200</v>
      </c>
      <c r="J39" s="163" t="s">
        <v>20</v>
      </c>
      <c r="K39" s="163">
        <v>1820</v>
      </c>
      <c r="L39" s="167">
        <v>2602</v>
      </c>
      <c r="M39" s="169">
        <v>2252</v>
      </c>
      <c r="N39" s="101" t="s">
        <v>176</v>
      </c>
      <c r="O39" s="108">
        <v>2730</v>
      </c>
      <c r="P39" s="205"/>
      <c r="Q39" s="68">
        <f>+L39-M39</f>
        <v>350</v>
      </c>
      <c r="R39" s="7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</row>
    <row r="40" spans="1:257" ht="49.95" customHeight="1" x14ac:dyDescent="0.3">
      <c r="A40" s="170">
        <v>24</v>
      </c>
      <c r="B40" s="170" t="s">
        <v>26</v>
      </c>
      <c r="C40" s="171" t="s">
        <v>42</v>
      </c>
      <c r="D40" s="170">
        <v>1</v>
      </c>
      <c r="E40" s="172" t="s">
        <v>27</v>
      </c>
      <c r="F40" s="173" t="s">
        <v>28</v>
      </c>
      <c r="G40" s="174">
        <v>5100</v>
      </c>
      <c r="H40" s="170" t="s">
        <v>20</v>
      </c>
      <c r="I40" s="170">
        <v>920</v>
      </c>
      <c r="J40" s="170" t="s">
        <v>20</v>
      </c>
      <c r="K40" s="174">
        <v>1060</v>
      </c>
      <c r="L40" s="169">
        <v>5992</v>
      </c>
      <c r="M40" s="169">
        <v>5692</v>
      </c>
      <c r="N40" s="101" t="s">
        <v>176</v>
      </c>
      <c r="O40" s="108">
        <v>6380</v>
      </c>
      <c r="P40" s="205"/>
      <c r="Q40" s="68">
        <f>+L40-M40</f>
        <v>300</v>
      </c>
      <c r="R40" s="7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</row>
    <row r="41" spans="1:257" ht="49.95" customHeight="1" x14ac:dyDescent="0.3">
      <c r="A41" s="163">
        <v>26</v>
      </c>
      <c r="B41" s="163" t="s">
        <v>26</v>
      </c>
      <c r="C41" s="168" t="s">
        <v>44</v>
      </c>
      <c r="D41" s="163">
        <v>1</v>
      </c>
      <c r="E41" s="165" t="s">
        <v>27</v>
      </c>
      <c r="F41" s="166" t="s">
        <v>28</v>
      </c>
      <c r="G41" s="175">
        <v>2800</v>
      </c>
      <c r="H41" s="163" t="s">
        <v>20</v>
      </c>
      <c r="I41" s="175">
        <v>1200</v>
      </c>
      <c r="J41" s="163" t="s">
        <v>20</v>
      </c>
      <c r="K41" s="175">
        <v>800</v>
      </c>
      <c r="L41" s="167">
        <v>1638</v>
      </c>
      <c r="M41" s="167">
        <v>1439</v>
      </c>
      <c r="N41" s="102" t="s">
        <v>176</v>
      </c>
      <c r="O41" s="108">
        <v>8000</v>
      </c>
      <c r="P41" s="205"/>
      <c r="Q41" s="99">
        <f>+L41-M41</f>
        <v>199</v>
      </c>
      <c r="R41" s="7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  <c r="IE41" s="36"/>
      <c r="IF41" s="36"/>
      <c r="IG41" s="36"/>
      <c r="IH41" s="36"/>
      <c r="II41" s="36"/>
      <c r="IJ41" s="36"/>
      <c r="IK41" s="36"/>
      <c r="IL41" s="36"/>
      <c r="IM41" s="36"/>
      <c r="IN41" s="36"/>
      <c r="IO41" s="36"/>
      <c r="IP41" s="36"/>
      <c r="IQ41" s="36"/>
      <c r="IR41" s="36"/>
      <c r="IS41" s="36"/>
      <c r="IT41" s="36"/>
      <c r="IU41" s="36"/>
      <c r="IV41" s="36"/>
      <c r="IW41" s="36"/>
    </row>
    <row r="42" spans="1:257" ht="39.450000000000003" customHeight="1" thickBot="1" x14ac:dyDescent="0.35">
      <c r="A42" s="104"/>
      <c r="B42" s="105"/>
      <c r="C42" s="105"/>
      <c r="D42" s="105"/>
      <c r="E42" s="105"/>
      <c r="F42" s="105"/>
      <c r="G42" s="105"/>
      <c r="H42" s="105"/>
      <c r="I42" s="105"/>
      <c r="J42" s="105"/>
      <c r="K42" s="106"/>
      <c r="L42" s="107">
        <f>SUM(L11:L41)</f>
        <v>292420</v>
      </c>
      <c r="M42" s="107">
        <f>SUM(M11:M41)</f>
        <v>286975</v>
      </c>
      <c r="N42" s="103"/>
      <c r="O42" s="110">
        <f>SUM(O11:O41)</f>
        <v>289103</v>
      </c>
      <c r="P42" s="111" t="s">
        <v>172</v>
      </c>
      <c r="Q42" s="62"/>
    </row>
    <row r="43" spans="1:257" x14ac:dyDescent="0.3">
      <c r="Q43" s="62"/>
    </row>
    <row r="44" spans="1:257" x14ac:dyDescent="0.3">
      <c r="L44" s="83"/>
      <c r="Q44" s="62"/>
    </row>
    <row r="45" spans="1:257" x14ac:dyDescent="0.3">
      <c r="Q45" s="62"/>
    </row>
    <row r="46" spans="1:257" x14ac:dyDescent="0.3">
      <c r="Q46" s="62"/>
    </row>
    <row r="47" spans="1:257" x14ac:dyDescent="0.3">
      <c r="Q47" s="62"/>
    </row>
    <row r="48" spans="1:257" x14ac:dyDescent="0.3">
      <c r="L48" s="83"/>
      <c r="Q48" s="62"/>
    </row>
    <row r="49" spans="17:17" x14ac:dyDescent="0.3">
      <c r="Q49" s="62"/>
    </row>
    <row r="50" spans="17:17" x14ac:dyDescent="0.3">
      <c r="Q50" s="62"/>
    </row>
    <row r="51" spans="17:17" x14ac:dyDescent="0.3">
      <c r="Q51" s="62"/>
    </row>
    <row r="52" spans="17:17" x14ac:dyDescent="0.3">
      <c r="Q52" s="62"/>
    </row>
    <row r="53" spans="17:17" x14ac:dyDescent="0.3">
      <c r="Q53" s="62"/>
    </row>
    <row r="54" spans="17:17" x14ac:dyDescent="0.3">
      <c r="Q54" s="62"/>
    </row>
    <row r="55" spans="17:17" x14ac:dyDescent="0.3">
      <c r="Q55" s="62"/>
    </row>
    <row r="56" spans="17:17" x14ac:dyDescent="0.3">
      <c r="Q56" s="62"/>
    </row>
    <row r="57" spans="17:17" x14ac:dyDescent="0.3">
      <c r="Q57" s="62"/>
    </row>
    <row r="58" spans="17:17" x14ac:dyDescent="0.3">
      <c r="Q58" s="62"/>
    </row>
  </sheetData>
  <autoFilter ref="A10:IW10" xr:uid="{504A7DB3-1B28-4CF8-99A0-7BF9201B1819}">
    <filterColumn colId="6" showButton="0"/>
    <filterColumn colId="7" showButton="0"/>
    <filterColumn colId="8" showButton="0"/>
    <filterColumn colId="9" showButton="0"/>
    <sortState xmlns:xlrd2="http://schemas.microsoft.com/office/spreadsheetml/2017/richdata2" ref="A11:IW42">
      <sortCondition ref="N10"/>
    </sortState>
  </autoFilter>
  <mergeCells count="6">
    <mergeCell ref="G10:K10"/>
    <mergeCell ref="B3:C3"/>
    <mergeCell ref="P23:P26"/>
    <mergeCell ref="P27:P34"/>
    <mergeCell ref="P35:P41"/>
    <mergeCell ref="P20:P22"/>
  </mergeCells>
  <printOptions horizontalCentered="1"/>
  <pageMargins left="0.39370078740157483" right="0.39370078740157483" top="0.39370078740157483" bottom="0" header="0" footer="0"/>
  <pageSetup paperSize="9" scale="58" fitToHeight="3" orientation="landscape" r:id="rId1"/>
  <headerFooter>
    <oddFooter>&amp;L&amp;1#&amp;"Calibri"&amp;10&amp;K737373Caterpillar: Confidential Green</oddFooter>
  </headerFooter>
  <rowBreaks count="2" manualBreakCount="2">
    <brk id="20" max="13" man="1"/>
    <brk id="29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5158-3191-4686-B364-0C4AAD004853}">
  <sheetPr>
    <tabColor rgb="FFFFC000"/>
  </sheetPr>
  <dimension ref="A1:IV57"/>
  <sheetViews>
    <sheetView showGridLines="0" zoomScale="60" zoomScaleNormal="60" workbookViewId="0">
      <pane ySplit="10" topLeftCell="A38" activePane="bottomLeft" state="frozen"/>
      <selection pane="bottomLeft" activeCell="Q41" sqref="Q41"/>
    </sheetView>
  </sheetViews>
  <sheetFormatPr defaultColWidth="8.77734375" defaultRowHeight="14.4" x14ac:dyDescent="0.3"/>
  <cols>
    <col min="1" max="1" width="16.21875" style="9" customWidth="1"/>
    <col min="2" max="2" width="26.44140625" style="9" bestFit="1" customWidth="1"/>
    <col min="3" max="3" width="47.21875" style="9" bestFit="1" customWidth="1"/>
    <col min="4" max="4" width="6.77734375" style="9" customWidth="1"/>
    <col min="5" max="5" width="17.21875" style="9" hidden="1" customWidth="1"/>
    <col min="6" max="6" width="29.5546875" style="22" hidden="1" customWidth="1"/>
    <col min="7" max="7" width="9.21875" style="9" hidden="1" customWidth="1"/>
    <col min="8" max="8" width="4.21875" style="9" hidden="1" customWidth="1"/>
    <col min="9" max="9" width="9.21875" style="9" hidden="1" customWidth="1"/>
    <col min="10" max="10" width="4.21875" style="9" hidden="1" customWidth="1"/>
    <col min="11" max="11" width="10.77734375" style="9" hidden="1" customWidth="1"/>
    <col min="12" max="12" width="15.77734375" style="9" hidden="1" customWidth="1"/>
    <col min="13" max="13" width="22.5546875" style="9" hidden="1" customWidth="1"/>
    <col min="14" max="14" width="13.44140625" style="23" hidden="1" customWidth="1"/>
    <col min="15" max="15" width="20.21875" style="65" hidden="1" customWidth="1"/>
    <col min="16" max="16" width="8.77734375" style="69" hidden="1" customWidth="1"/>
    <col min="17" max="17" width="15.77734375" style="9" bestFit="1" customWidth="1"/>
    <col min="18" max="16384" width="8.77734375" style="9"/>
  </cols>
  <sheetData>
    <row r="1" spans="1:256" ht="22.5" customHeight="1" x14ac:dyDescent="0.35">
      <c r="A1" s="4"/>
      <c r="B1" s="5"/>
      <c r="C1" s="4"/>
      <c r="D1" s="5"/>
      <c r="E1" s="4"/>
      <c r="F1" s="6"/>
      <c r="G1" s="7"/>
      <c r="H1" s="7"/>
      <c r="I1" s="7"/>
      <c r="J1" s="7"/>
      <c r="K1" s="4"/>
      <c r="L1" s="4"/>
      <c r="M1" s="4"/>
      <c r="N1" s="8"/>
      <c r="O1" s="61"/>
      <c r="P1" s="62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</row>
    <row r="2" spans="1:256" ht="19.05" customHeight="1" thickBot="1" x14ac:dyDescent="0.4">
      <c r="A2" s="4"/>
      <c r="B2" s="5"/>
      <c r="C2" s="4"/>
      <c r="D2" s="5"/>
      <c r="E2" s="4"/>
      <c r="F2" s="6"/>
      <c r="G2" s="7"/>
      <c r="H2" s="7"/>
      <c r="I2" s="7"/>
      <c r="J2" s="7"/>
      <c r="K2" s="4"/>
      <c r="L2" s="4"/>
      <c r="M2" s="4"/>
      <c r="N2" s="8"/>
      <c r="O2" s="61"/>
      <c r="P2" s="62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</row>
    <row r="3" spans="1:256" ht="22.2" x14ac:dyDescent="0.45">
      <c r="A3" s="72" t="s">
        <v>0</v>
      </c>
      <c r="B3" s="58" t="s">
        <v>51</v>
      </c>
      <c r="C3" s="55"/>
      <c r="D3" s="13"/>
      <c r="E3" s="12"/>
      <c r="F3" s="14" t="s">
        <v>1</v>
      </c>
      <c r="G3" s="15"/>
      <c r="H3" s="12"/>
      <c r="I3" s="12"/>
      <c r="J3" s="12"/>
      <c r="K3" s="12"/>
      <c r="L3" s="12"/>
      <c r="M3" s="12"/>
      <c r="N3" s="16"/>
      <c r="O3" s="63"/>
      <c r="P3" s="6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</row>
    <row r="4" spans="1:256" ht="22.2" x14ac:dyDescent="0.45">
      <c r="A4" s="73" t="s">
        <v>2</v>
      </c>
      <c r="B4" s="76" t="s">
        <v>52</v>
      </c>
      <c r="C4" s="56"/>
      <c r="D4" s="13"/>
      <c r="E4" s="12"/>
      <c r="F4" s="14" t="s">
        <v>3</v>
      </c>
      <c r="G4" s="15"/>
      <c r="H4" s="12"/>
      <c r="I4" s="12"/>
      <c r="J4" s="12"/>
      <c r="K4" s="12"/>
      <c r="L4" s="12"/>
      <c r="M4" s="12"/>
      <c r="N4" s="16"/>
      <c r="O4" s="63"/>
      <c r="P4" s="6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</row>
    <row r="5" spans="1:256" ht="20.55" customHeight="1" x14ac:dyDescent="0.35">
      <c r="A5" s="73" t="s">
        <v>4</v>
      </c>
      <c r="B5" s="59" t="s">
        <v>53</v>
      </c>
      <c r="C5" s="56"/>
      <c r="D5" s="17"/>
      <c r="E5" s="12"/>
      <c r="F5" s="18"/>
      <c r="G5" s="12"/>
      <c r="H5" s="12"/>
      <c r="I5" s="12"/>
      <c r="J5" s="12"/>
      <c r="K5" s="12"/>
      <c r="L5" s="12"/>
      <c r="M5" s="12"/>
      <c r="N5" s="77"/>
      <c r="O5" s="63"/>
      <c r="P5" s="6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</row>
    <row r="6" spans="1:256" ht="21.45" customHeight="1" thickBot="1" x14ac:dyDescent="0.4">
      <c r="A6" s="74" t="s">
        <v>5</v>
      </c>
      <c r="B6" s="60" t="s">
        <v>54</v>
      </c>
      <c r="C6" s="57"/>
      <c r="D6" s="17"/>
      <c r="E6" s="12"/>
      <c r="F6" s="18"/>
      <c r="G6" s="12"/>
      <c r="H6" s="12"/>
      <c r="I6" s="12"/>
      <c r="J6" s="12"/>
      <c r="K6" s="12"/>
      <c r="L6" s="12"/>
      <c r="M6" s="12"/>
      <c r="N6" s="77"/>
      <c r="O6" s="63"/>
      <c r="P6" s="6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</row>
    <row r="7" spans="1:256" ht="25.2" customHeight="1" x14ac:dyDescent="0.3">
      <c r="A7" s="12"/>
      <c r="B7" s="12"/>
      <c r="C7" s="12"/>
      <c r="D7" s="12"/>
      <c r="E7" s="12"/>
      <c r="F7" s="18"/>
      <c r="G7" s="12"/>
      <c r="H7" s="12"/>
      <c r="I7" s="12"/>
      <c r="J7" s="12"/>
      <c r="K7" s="12"/>
      <c r="L7" s="12"/>
      <c r="M7" s="12"/>
      <c r="N7" s="77"/>
      <c r="O7" s="63"/>
      <c r="P7" s="6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</row>
    <row r="8" spans="1:256" ht="18" x14ac:dyDescent="0.35">
      <c r="A8" s="19" t="s">
        <v>6</v>
      </c>
      <c r="B8" s="20"/>
      <c r="C8" s="20"/>
      <c r="D8" s="20"/>
      <c r="E8" s="20"/>
      <c r="F8" s="21"/>
      <c r="L8" s="11"/>
      <c r="M8" s="51" t="s">
        <v>7</v>
      </c>
      <c r="N8" s="52">
        <f>SUM(N11:N40)</f>
        <v>622.69936899999993</v>
      </c>
      <c r="O8" s="64"/>
      <c r="P8" s="62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</row>
    <row r="9" spans="1:256" x14ac:dyDescent="0.3">
      <c r="P9" s="62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</row>
    <row r="10" spans="1:256" ht="55.05" customHeight="1" x14ac:dyDescent="0.3">
      <c r="A10" s="70" t="s">
        <v>8</v>
      </c>
      <c r="B10" s="24" t="s">
        <v>9</v>
      </c>
      <c r="C10" s="24" t="s">
        <v>10</v>
      </c>
      <c r="D10" s="24" t="s">
        <v>11</v>
      </c>
      <c r="E10" s="24" t="s">
        <v>12</v>
      </c>
      <c r="F10" s="25" t="s">
        <v>13</v>
      </c>
      <c r="G10" s="198" t="s">
        <v>14</v>
      </c>
      <c r="H10" s="199"/>
      <c r="I10" s="199"/>
      <c r="J10" s="199"/>
      <c r="K10" s="200"/>
      <c r="L10" s="25" t="s">
        <v>15</v>
      </c>
      <c r="M10" s="25" t="s">
        <v>16</v>
      </c>
      <c r="N10" s="26" t="s">
        <v>17</v>
      </c>
      <c r="O10" s="66"/>
      <c r="P10" s="6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  <c r="IJ10" s="28"/>
      <c r="IK10" s="28"/>
      <c r="IL10" s="28"/>
      <c r="IM10" s="28"/>
      <c r="IN10" s="28"/>
      <c r="IO10" s="28"/>
      <c r="IP10" s="28"/>
      <c r="IQ10" s="28"/>
      <c r="IR10" s="28"/>
      <c r="IS10" s="28"/>
      <c r="IT10" s="28"/>
      <c r="IU10" s="28"/>
      <c r="IV10" s="28"/>
    </row>
    <row r="11" spans="1:256" ht="49.95" customHeight="1" x14ac:dyDescent="0.3">
      <c r="A11" s="29">
        <v>1</v>
      </c>
      <c r="B11" s="29">
        <v>5181737</v>
      </c>
      <c r="C11" s="30" t="s">
        <v>55</v>
      </c>
      <c r="D11" s="29">
        <v>1</v>
      </c>
      <c r="E11" s="31" t="s">
        <v>18</v>
      </c>
      <c r="F11" s="32" t="s">
        <v>19</v>
      </c>
      <c r="G11" s="29">
        <v>7700</v>
      </c>
      <c r="H11" s="29" t="s">
        <v>20</v>
      </c>
      <c r="I11" s="29">
        <v>1870</v>
      </c>
      <c r="J11" s="29" t="s">
        <v>20</v>
      </c>
      <c r="K11" s="29">
        <v>1950</v>
      </c>
      <c r="L11" s="33">
        <v>48000</v>
      </c>
      <c r="M11" s="33">
        <v>48000</v>
      </c>
      <c r="N11" s="34">
        <f>IF(O11&gt;=L11/1000,O11,L11/1000)</f>
        <v>48</v>
      </c>
      <c r="O11" s="47">
        <f>IF(G11="","",G11*I11*K11/1000000000)</f>
        <v>28.078050000000001</v>
      </c>
      <c r="P11" s="68">
        <f>+L11-M11</f>
        <v>0</v>
      </c>
      <c r="Q11" s="35" t="s">
        <v>56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</row>
    <row r="12" spans="1:256" ht="49.95" customHeight="1" x14ac:dyDescent="0.3">
      <c r="A12" s="29">
        <v>2</v>
      </c>
      <c r="B12" s="29">
        <v>5181736</v>
      </c>
      <c r="C12" s="30" t="s">
        <v>57</v>
      </c>
      <c r="D12" s="29">
        <v>1</v>
      </c>
      <c r="E12" s="31" t="s">
        <v>18</v>
      </c>
      <c r="F12" s="32" t="s">
        <v>19</v>
      </c>
      <c r="G12" s="29">
        <v>7700</v>
      </c>
      <c r="H12" s="29" t="s">
        <v>20</v>
      </c>
      <c r="I12" s="29">
        <v>1870</v>
      </c>
      <c r="J12" s="29" t="s">
        <v>20</v>
      </c>
      <c r="K12" s="29">
        <v>1950</v>
      </c>
      <c r="L12" s="33">
        <v>48000</v>
      </c>
      <c r="M12" s="33">
        <v>48000</v>
      </c>
      <c r="N12" s="34">
        <f>IF(O12&gt;=L12/1000,O12,L12/1000)</f>
        <v>48</v>
      </c>
      <c r="O12" s="47">
        <f>IF(G12="","",G12*I12*K12/1000000000)</f>
        <v>28.078050000000001</v>
      </c>
      <c r="P12" s="68">
        <f>+L12-M12</f>
        <v>0</v>
      </c>
      <c r="Q12" s="35" t="s">
        <v>58</v>
      </c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</row>
    <row r="13" spans="1:256" ht="69" customHeight="1" x14ac:dyDescent="0.3">
      <c r="A13" s="29">
        <v>3</v>
      </c>
      <c r="B13" s="29">
        <v>4689403</v>
      </c>
      <c r="C13" s="37" t="s">
        <v>59</v>
      </c>
      <c r="D13" s="29">
        <v>1</v>
      </c>
      <c r="E13" s="31" t="s">
        <v>18</v>
      </c>
      <c r="F13" s="32" t="s">
        <v>21</v>
      </c>
      <c r="G13" s="29">
        <v>5550</v>
      </c>
      <c r="H13" s="29" t="s">
        <v>20</v>
      </c>
      <c r="I13" s="29">
        <v>3400</v>
      </c>
      <c r="J13" s="29" t="s">
        <v>20</v>
      </c>
      <c r="K13" s="29">
        <v>1810</v>
      </c>
      <c r="L13" s="33">
        <v>25100</v>
      </c>
      <c r="M13" s="33">
        <v>24800</v>
      </c>
      <c r="N13" s="34">
        <f t="shared" ref="N13:N39" si="0">IF(O13&gt;=L13/1000,O13,L13/1000)</f>
        <v>34.154699999999998</v>
      </c>
      <c r="O13" s="47">
        <f t="shared" ref="O13:O40" si="1">IF(G13="","",G13*I13*K13/1000000000)</f>
        <v>34.154699999999998</v>
      </c>
      <c r="P13" s="68">
        <f t="shared" ref="P13:P40" si="2">+L13-M13</f>
        <v>300</v>
      </c>
      <c r="Q13" s="35" t="s">
        <v>60</v>
      </c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</row>
    <row r="14" spans="1:256" ht="49.95" customHeight="1" x14ac:dyDescent="0.3">
      <c r="A14" s="29">
        <v>4</v>
      </c>
      <c r="B14" s="29">
        <v>5461606</v>
      </c>
      <c r="C14" s="30" t="s">
        <v>61</v>
      </c>
      <c r="D14" s="29">
        <v>1</v>
      </c>
      <c r="E14" s="31" t="s">
        <v>18</v>
      </c>
      <c r="F14" s="32" t="s">
        <v>19</v>
      </c>
      <c r="G14" s="29">
        <v>8520</v>
      </c>
      <c r="H14" s="29" t="s">
        <v>20</v>
      </c>
      <c r="I14" s="29">
        <v>3120</v>
      </c>
      <c r="J14" s="29" t="s">
        <v>20</v>
      </c>
      <c r="K14" s="29">
        <v>2660</v>
      </c>
      <c r="L14" s="33">
        <v>41100</v>
      </c>
      <c r="M14" s="33">
        <v>41000</v>
      </c>
      <c r="N14" s="34">
        <f t="shared" si="0"/>
        <v>70.709183999999993</v>
      </c>
      <c r="O14" s="47">
        <f t="shared" si="1"/>
        <v>70.709183999999993</v>
      </c>
      <c r="P14" s="68">
        <f t="shared" si="2"/>
        <v>100</v>
      </c>
      <c r="Q14" s="35" t="s">
        <v>62</v>
      </c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</row>
    <row r="15" spans="1:256" ht="88.8" x14ac:dyDescent="0.3">
      <c r="A15" s="29">
        <v>5</v>
      </c>
      <c r="B15" s="29">
        <v>6002378</v>
      </c>
      <c r="C15" s="37" t="s">
        <v>63</v>
      </c>
      <c r="D15" s="29">
        <v>1</v>
      </c>
      <c r="E15" s="31" t="s">
        <v>18</v>
      </c>
      <c r="F15" s="32" t="s">
        <v>21</v>
      </c>
      <c r="G15" s="29">
        <v>5500</v>
      </c>
      <c r="H15" s="29" t="s">
        <v>20</v>
      </c>
      <c r="I15" s="29">
        <v>4050</v>
      </c>
      <c r="J15" s="29" t="s">
        <v>20</v>
      </c>
      <c r="K15" s="29">
        <v>3100</v>
      </c>
      <c r="L15" s="33">
        <v>26150</v>
      </c>
      <c r="M15" s="33">
        <v>26000</v>
      </c>
      <c r="N15" s="34">
        <f t="shared" si="0"/>
        <v>69.052499999999995</v>
      </c>
      <c r="O15" s="47">
        <f t="shared" si="1"/>
        <v>69.052499999999995</v>
      </c>
      <c r="P15" s="82">
        <f t="shared" si="2"/>
        <v>150</v>
      </c>
      <c r="Q15" s="35" t="s">
        <v>64</v>
      </c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</row>
    <row r="16" spans="1:256" ht="49.95" customHeight="1" x14ac:dyDescent="0.3">
      <c r="A16" s="29">
        <v>6</v>
      </c>
      <c r="B16" s="29">
        <v>5461607</v>
      </c>
      <c r="C16" s="38" t="s">
        <v>22</v>
      </c>
      <c r="D16" s="29">
        <v>1</v>
      </c>
      <c r="E16" s="31" t="s">
        <v>18</v>
      </c>
      <c r="F16" s="32" t="s">
        <v>19</v>
      </c>
      <c r="G16" s="29">
        <v>3640</v>
      </c>
      <c r="H16" s="29" t="s">
        <v>20</v>
      </c>
      <c r="I16" s="29">
        <v>1900</v>
      </c>
      <c r="J16" s="29" t="s">
        <v>20</v>
      </c>
      <c r="K16" s="29">
        <v>3160</v>
      </c>
      <c r="L16" s="33">
        <v>5390</v>
      </c>
      <c r="M16" s="33">
        <v>5390</v>
      </c>
      <c r="N16" s="34">
        <f t="shared" si="0"/>
        <v>21.854559999999999</v>
      </c>
      <c r="O16" s="47">
        <f t="shared" si="1"/>
        <v>21.854559999999999</v>
      </c>
      <c r="P16" s="68">
        <f t="shared" si="2"/>
        <v>0</v>
      </c>
      <c r="Q16" s="35" t="s">
        <v>65</v>
      </c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</row>
    <row r="17" spans="1:256" ht="49.95" customHeight="1" x14ac:dyDescent="0.3">
      <c r="A17" s="29">
        <v>7</v>
      </c>
      <c r="B17" s="29">
        <v>5461608</v>
      </c>
      <c r="C17" s="38" t="s">
        <v>23</v>
      </c>
      <c r="D17" s="29">
        <v>1</v>
      </c>
      <c r="E17" s="31" t="s">
        <v>18</v>
      </c>
      <c r="F17" s="32" t="s">
        <v>19</v>
      </c>
      <c r="G17" s="29">
        <v>3900</v>
      </c>
      <c r="H17" s="29" t="s">
        <v>20</v>
      </c>
      <c r="I17" s="29">
        <v>1550</v>
      </c>
      <c r="J17" s="29" t="s">
        <v>20</v>
      </c>
      <c r="K17" s="29">
        <v>2900</v>
      </c>
      <c r="L17" s="33">
        <v>5642</v>
      </c>
      <c r="M17" s="33">
        <v>5642</v>
      </c>
      <c r="N17" s="34">
        <f t="shared" si="0"/>
        <v>17.5305</v>
      </c>
      <c r="O17" s="47">
        <f t="shared" si="1"/>
        <v>17.5305</v>
      </c>
      <c r="P17" s="68">
        <f t="shared" si="2"/>
        <v>0</v>
      </c>
      <c r="Q17" s="35" t="s">
        <v>66</v>
      </c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</row>
    <row r="18" spans="1:256" ht="49.95" customHeight="1" x14ac:dyDescent="0.3">
      <c r="A18" s="29">
        <v>8</v>
      </c>
      <c r="B18" s="29">
        <v>6023478</v>
      </c>
      <c r="C18" s="38" t="s">
        <v>24</v>
      </c>
      <c r="D18" s="29">
        <v>1</v>
      </c>
      <c r="E18" s="31" t="s">
        <v>18</v>
      </c>
      <c r="F18" s="32" t="s">
        <v>19</v>
      </c>
      <c r="G18" s="29">
        <v>5300</v>
      </c>
      <c r="H18" s="29" t="s">
        <v>20</v>
      </c>
      <c r="I18" s="29">
        <v>1200</v>
      </c>
      <c r="J18" s="29" t="s">
        <v>20</v>
      </c>
      <c r="K18" s="29">
        <v>3000</v>
      </c>
      <c r="L18" s="33">
        <v>34477</v>
      </c>
      <c r="M18" s="33">
        <v>34477</v>
      </c>
      <c r="N18" s="34">
        <f t="shared" si="0"/>
        <v>34.476999999999997</v>
      </c>
      <c r="O18" s="47">
        <f t="shared" si="1"/>
        <v>19.079999999999998</v>
      </c>
      <c r="P18" s="68">
        <f t="shared" si="2"/>
        <v>0</v>
      </c>
      <c r="Q18" s="35" t="s">
        <v>67</v>
      </c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</row>
    <row r="19" spans="1:256" ht="49.95" customHeight="1" x14ac:dyDescent="0.3">
      <c r="A19" s="29">
        <v>9</v>
      </c>
      <c r="B19" s="29">
        <v>5944236</v>
      </c>
      <c r="C19" s="30" t="s">
        <v>68</v>
      </c>
      <c r="D19" s="39">
        <v>1</v>
      </c>
      <c r="E19" s="40" t="s">
        <v>18</v>
      </c>
      <c r="F19" s="41" t="s">
        <v>25</v>
      </c>
      <c r="G19" s="39">
        <v>9400</v>
      </c>
      <c r="H19" s="39" t="s">
        <v>20</v>
      </c>
      <c r="I19" s="39">
        <v>2700</v>
      </c>
      <c r="J19" s="39" t="s">
        <v>20</v>
      </c>
      <c r="K19" s="39">
        <v>3750</v>
      </c>
      <c r="L19" s="33">
        <v>31000</v>
      </c>
      <c r="M19" s="33">
        <v>31000</v>
      </c>
      <c r="N19" s="34">
        <f t="shared" si="0"/>
        <v>95.174999999999997</v>
      </c>
      <c r="O19" s="47">
        <f t="shared" si="1"/>
        <v>95.174999999999997</v>
      </c>
      <c r="P19" s="68">
        <f t="shared" si="2"/>
        <v>0</v>
      </c>
      <c r="Q19" s="35" t="s">
        <v>69</v>
      </c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</row>
    <row r="20" spans="1:256" ht="49.95" customHeight="1" x14ac:dyDescent="0.3">
      <c r="A20" s="29">
        <v>10</v>
      </c>
      <c r="B20" s="29">
        <v>5944237</v>
      </c>
      <c r="C20" s="37" t="s">
        <v>70</v>
      </c>
      <c r="D20" s="39">
        <v>1</v>
      </c>
      <c r="E20" s="40" t="s">
        <v>18</v>
      </c>
      <c r="F20" s="41" t="s">
        <v>25</v>
      </c>
      <c r="G20" s="39">
        <v>6200</v>
      </c>
      <c r="H20" s="39" t="s">
        <v>20</v>
      </c>
      <c r="I20" s="39">
        <v>2200</v>
      </c>
      <c r="J20" s="39" t="s">
        <v>20</v>
      </c>
      <c r="K20" s="39">
        <v>2670</v>
      </c>
      <c r="L20" s="33">
        <v>16300</v>
      </c>
      <c r="M20" s="33">
        <v>16200</v>
      </c>
      <c r="N20" s="34">
        <f t="shared" si="0"/>
        <v>36.418799999999997</v>
      </c>
      <c r="O20" s="47">
        <f t="shared" si="1"/>
        <v>36.418799999999997</v>
      </c>
      <c r="P20" s="68">
        <f t="shared" si="2"/>
        <v>100</v>
      </c>
      <c r="Q20" s="35" t="s">
        <v>71</v>
      </c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</row>
    <row r="21" spans="1:256" ht="49.95" customHeight="1" x14ac:dyDescent="0.3">
      <c r="A21" s="29">
        <v>11</v>
      </c>
      <c r="B21" s="39" t="s">
        <v>26</v>
      </c>
      <c r="C21" s="38" t="s">
        <v>72</v>
      </c>
      <c r="D21" s="39">
        <v>1</v>
      </c>
      <c r="E21" s="40" t="s">
        <v>27</v>
      </c>
      <c r="F21" s="41" t="s">
        <v>28</v>
      </c>
      <c r="G21" s="39">
        <v>1200</v>
      </c>
      <c r="H21" s="39" t="s">
        <v>20</v>
      </c>
      <c r="I21" s="39">
        <v>1200</v>
      </c>
      <c r="J21" s="39" t="s">
        <v>20</v>
      </c>
      <c r="K21" s="39">
        <v>1000</v>
      </c>
      <c r="L21" s="42">
        <v>361</v>
      </c>
      <c r="M21" s="42">
        <v>241</v>
      </c>
      <c r="N21" s="34">
        <f t="shared" si="0"/>
        <v>1.44</v>
      </c>
      <c r="O21" s="47">
        <f t="shared" si="1"/>
        <v>1.44</v>
      </c>
      <c r="P21" s="68">
        <f t="shared" si="2"/>
        <v>120</v>
      </c>
      <c r="Q21" s="75" t="s">
        <v>73</v>
      </c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</row>
    <row r="22" spans="1:256" ht="49.95" customHeight="1" x14ac:dyDescent="0.3">
      <c r="A22" s="29">
        <v>12</v>
      </c>
      <c r="B22" s="29" t="s">
        <v>26</v>
      </c>
      <c r="C22" s="38" t="s">
        <v>74</v>
      </c>
      <c r="D22" s="29">
        <v>1</v>
      </c>
      <c r="E22" s="31" t="s">
        <v>27</v>
      </c>
      <c r="F22" s="32" t="s">
        <v>28</v>
      </c>
      <c r="G22" s="29">
        <v>1500</v>
      </c>
      <c r="H22" s="29" t="s">
        <v>20</v>
      </c>
      <c r="I22" s="29">
        <v>1200</v>
      </c>
      <c r="J22" s="29" t="s">
        <v>20</v>
      </c>
      <c r="K22" s="29">
        <v>1000</v>
      </c>
      <c r="L22" s="42">
        <v>895</v>
      </c>
      <c r="M22" s="42">
        <v>645</v>
      </c>
      <c r="N22" s="34">
        <f t="shared" si="0"/>
        <v>1.8</v>
      </c>
      <c r="O22" s="47">
        <f t="shared" si="1"/>
        <v>1.8</v>
      </c>
      <c r="P22" s="68">
        <f t="shared" si="2"/>
        <v>250</v>
      </c>
      <c r="Q22" s="75" t="s">
        <v>75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</row>
    <row r="23" spans="1:256" ht="49.95" customHeight="1" x14ac:dyDescent="0.3">
      <c r="A23" s="29">
        <v>13</v>
      </c>
      <c r="B23" s="29" t="s">
        <v>26</v>
      </c>
      <c r="C23" s="38" t="s">
        <v>29</v>
      </c>
      <c r="D23" s="29">
        <v>1</v>
      </c>
      <c r="E23" s="31" t="s">
        <v>27</v>
      </c>
      <c r="F23" s="32" t="s">
        <v>28</v>
      </c>
      <c r="G23" s="29">
        <v>2400</v>
      </c>
      <c r="H23" s="29" t="s">
        <v>20</v>
      </c>
      <c r="I23" s="29">
        <v>1400</v>
      </c>
      <c r="J23" s="29" t="s">
        <v>20</v>
      </c>
      <c r="K23" s="29">
        <v>1200</v>
      </c>
      <c r="L23" s="42">
        <v>364</v>
      </c>
      <c r="M23" s="42">
        <v>114</v>
      </c>
      <c r="N23" s="34">
        <f t="shared" si="0"/>
        <v>4.032</v>
      </c>
      <c r="O23" s="47">
        <f t="shared" si="1"/>
        <v>4.032</v>
      </c>
      <c r="P23" s="68">
        <f t="shared" si="2"/>
        <v>250</v>
      </c>
      <c r="Q23" s="75" t="s">
        <v>76</v>
      </c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</row>
    <row r="24" spans="1:256" ht="49.95" customHeight="1" x14ac:dyDescent="0.3">
      <c r="A24" s="29">
        <v>14</v>
      </c>
      <c r="B24" s="29" t="s">
        <v>26</v>
      </c>
      <c r="C24" s="38" t="s">
        <v>30</v>
      </c>
      <c r="D24" s="29">
        <v>1</v>
      </c>
      <c r="E24" s="31" t="s">
        <v>27</v>
      </c>
      <c r="F24" s="32" t="s">
        <v>28</v>
      </c>
      <c r="G24" s="29">
        <v>1850</v>
      </c>
      <c r="H24" s="29" t="s">
        <v>20</v>
      </c>
      <c r="I24" s="29">
        <v>1150</v>
      </c>
      <c r="J24" s="29" t="s">
        <v>20</v>
      </c>
      <c r="K24" s="29">
        <v>2000</v>
      </c>
      <c r="L24" s="42">
        <v>2636</v>
      </c>
      <c r="M24" s="42">
        <v>2286</v>
      </c>
      <c r="N24" s="34">
        <f t="shared" si="0"/>
        <v>4.2549999999999999</v>
      </c>
      <c r="O24" s="47">
        <f t="shared" si="1"/>
        <v>4.2549999999999999</v>
      </c>
      <c r="P24" s="68">
        <f t="shared" si="2"/>
        <v>350</v>
      </c>
      <c r="Q24" s="75" t="s">
        <v>77</v>
      </c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</row>
    <row r="25" spans="1:256" ht="49.95" customHeight="1" x14ac:dyDescent="0.3">
      <c r="A25" s="29">
        <v>15</v>
      </c>
      <c r="B25" s="29" t="s">
        <v>26</v>
      </c>
      <c r="C25" s="38" t="s">
        <v>31</v>
      </c>
      <c r="D25" s="29">
        <v>1</v>
      </c>
      <c r="E25" s="31" t="s">
        <v>27</v>
      </c>
      <c r="F25" s="32" t="s">
        <v>28</v>
      </c>
      <c r="G25" s="29">
        <v>4000</v>
      </c>
      <c r="H25" s="29" t="s">
        <v>20</v>
      </c>
      <c r="I25" s="29">
        <v>1000</v>
      </c>
      <c r="J25" s="29" t="s">
        <v>20</v>
      </c>
      <c r="K25" s="29">
        <v>600</v>
      </c>
      <c r="L25" s="42">
        <v>786</v>
      </c>
      <c r="M25" s="42">
        <v>464</v>
      </c>
      <c r="N25" s="34">
        <f t="shared" si="0"/>
        <v>2.4</v>
      </c>
      <c r="O25" s="47">
        <f t="shared" si="1"/>
        <v>2.4</v>
      </c>
      <c r="P25" s="68">
        <f t="shared" si="2"/>
        <v>322</v>
      </c>
      <c r="Q25" s="75" t="s">
        <v>78</v>
      </c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</row>
    <row r="26" spans="1:256" ht="49.95" customHeight="1" x14ac:dyDescent="0.3">
      <c r="A26" s="29">
        <v>16</v>
      </c>
      <c r="B26" s="29" t="s">
        <v>26</v>
      </c>
      <c r="C26" s="38" t="s">
        <v>32</v>
      </c>
      <c r="D26" s="29">
        <v>1</v>
      </c>
      <c r="E26" s="31" t="s">
        <v>27</v>
      </c>
      <c r="F26" s="32" t="s">
        <v>28</v>
      </c>
      <c r="G26" s="29">
        <v>3650</v>
      </c>
      <c r="H26" s="29" t="s">
        <v>20</v>
      </c>
      <c r="I26" s="29">
        <v>2750</v>
      </c>
      <c r="J26" s="29" t="s">
        <v>20</v>
      </c>
      <c r="K26" s="29">
        <v>2950</v>
      </c>
      <c r="L26" s="42">
        <v>4360</v>
      </c>
      <c r="M26" s="42">
        <v>3360</v>
      </c>
      <c r="N26" s="34">
        <f t="shared" si="0"/>
        <v>29.610624999999999</v>
      </c>
      <c r="O26" s="47">
        <f t="shared" si="1"/>
        <v>29.610624999999999</v>
      </c>
      <c r="P26" s="68">
        <f t="shared" si="2"/>
        <v>1000</v>
      </c>
      <c r="Q26" s="75" t="s">
        <v>79</v>
      </c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</row>
    <row r="27" spans="1:256" ht="49.95" customHeight="1" x14ac:dyDescent="0.3">
      <c r="A27" s="29">
        <v>17</v>
      </c>
      <c r="B27" s="29" t="s">
        <v>26</v>
      </c>
      <c r="C27" s="38" t="s">
        <v>33</v>
      </c>
      <c r="D27" s="29">
        <v>1</v>
      </c>
      <c r="E27" s="31" t="s">
        <v>27</v>
      </c>
      <c r="F27" s="32" t="s">
        <v>28</v>
      </c>
      <c r="G27" s="29">
        <v>1600</v>
      </c>
      <c r="H27" s="29" t="s">
        <v>20</v>
      </c>
      <c r="I27" s="29">
        <v>800</v>
      </c>
      <c r="J27" s="29" t="s">
        <v>20</v>
      </c>
      <c r="K27" s="29">
        <v>700</v>
      </c>
      <c r="L27" s="42">
        <v>252</v>
      </c>
      <c r="M27" s="42">
        <v>108</v>
      </c>
      <c r="N27" s="34">
        <f t="shared" si="0"/>
        <v>0.89600000000000002</v>
      </c>
      <c r="O27" s="47">
        <f t="shared" si="1"/>
        <v>0.89600000000000002</v>
      </c>
      <c r="P27" s="68">
        <f t="shared" si="2"/>
        <v>144</v>
      </c>
      <c r="Q27" s="75" t="s">
        <v>80</v>
      </c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</row>
    <row r="28" spans="1:256" ht="49.95" customHeight="1" x14ac:dyDescent="0.3">
      <c r="A28" s="29">
        <v>18</v>
      </c>
      <c r="B28" s="29" t="s">
        <v>26</v>
      </c>
      <c r="C28" s="38" t="s">
        <v>34</v>
      </c>
      <c r="D28" s="29">
        <v>1</v>
      </c>
      <c r="E28" s="31" t="s">
        <v>27</v>
      </c>
      <c r="F28" s="32" t="s">
        <v>28</v>
      </c>
      <c r="G28" s="29">
        <v>1600</v>
      </c>
      <c r="H28" s="29" t="s">
        <v>20</v>
      </c>
      <c r="I28" s="29">
        <v>1050</v>
      </c>
      <c r="J28" s="29" t="s">
        <v>20</v>
      </c>
      <c r="K28" s="29">
        <v>1000</v>
      </c>
      <c r="L28" s="42">
        <v>335</v>
      </c>
      <c r="M28" s="42">
        <v>184</v>
      </c>
      <c r="N28" s="34">
        <f t="shared" si="0"/>
        <v>1.68</v>
      </c>
      <c r="O28" s="47">
        <f t="shared" si="1"/>
        <v>1.68</v>
      </c>
      <c r="P28" s="68">
        <f t="shared" si="2"/>
        <v>151</v>
      </c>
      <c r="Q28" s="75" t="s">
        <v>81</v>
      </c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</row>
    <row r="29" spans="1:256" ht="49.95" customHeight="1" x14ac:dyDescent="0.3">
      <c r="A29" s="29">
        <v>19</v>
      </c>
      <c r="B29" s="29" t="s">
        <v>26</v>
      </c>
      <c r="C29" s="38" t="s">
        <v>35</v>
      </c>
      <c r="D29" s="29">
        <v>1</v>
      </c>
      <c r="E29" s="31" t="s">
        <v>27</v>
      </c>
      <c r="F29" s="32" t="s">
        <v>28</v>
      </c>
      <c r="G29" s="29">
        <v>1600</v>
      </c>
      <c r="H29" s="29" t="s">
        <v>20</v>
      </c>
      <c r="I29" s="29">
        <v>1400</v>
      </c>
      <c r="J29" s="29" t="s">
        <v>20</v>
      </c>
      <c r="K29" s="29">
        <v>2150</v>
      </c>
      <c r="L29" s="42">
        <v>1156</v>
      </c>
      <c r="M29" s="42">
        <v>956</v>
      </c>
      <c r="N29" s="34">
        <f t="shared" si="0"/>
        <v>4.8159999999999998</v>
      </c>
      <c r="O29" s="47">
        <f t="shared" si="1"/>
        <v>4.8159999999999998</v>
      </c>
      <c r="P29" s="68">
        <f t="shared" si="2"/>
        <v>200</v>
      </c>
      <c r="Q29" s="75" t="s">
        <v>82</v>
      </c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</row>
    <row r="30" spans="1:256" ht="49.95" customHeight="1" x14ac:dyDescent="0.3">
      <c r="A30" s="29">
        <v>20</v>
      </c>
      <c r="B30" s="29" t="s">
        <v>26</v>
      </c>
      <c r="C30" s="38" t="s">
        <v>36</v>
      </c>
      <c r="D30" s="29">
        <v>1</v>
      </c>
      <c r="E30" s="31" t="s">
        <v>27</v>
      </c>
      <c r="F30" s="32" t="s">
        <v>28</v>
      </c>
      <c r="G30" s="29">
        <v>4300</v>
      </c>
      <c r="H30" s="29" t="s">
        <v>20</v>
      </c>
      <c r="I30" s="29">
        <v>2200</v>
      </c>
      <c r="J30" s="29" t="s">
        <v>20</v>
      </c>
      <c r="K30" s="29">
        <v>1200</v>
      </c>
      <c r="L30" s="42">
        <v>1268</v>
      </c>
      <c r="M30" s="42">
        <v>968</v>
      </c>
      <c r="N30" s="34">
        <f t="shared" si="0"/>
        <v>11.352</v>
      </c>
      <c r="O30" s="47">
        <f t="shared" si="1"/>
        <v>11.352</v>
      </c>
      <c r="P30" s="68">
        <f t="shared" si="2"/>
        <v>300</v>
      </c>
      <c r="Q30" s="75" t="s">
        <v>83</v>
      </c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</row>
    <row r="31" spans="1:256" ht="49.95" customHeight="1" x14ac:dyDescent="0.3">
      <c r="A31" s="29">
        <v>21</v>
      </c>
      <c r="B31" s="29" t="s">
        <v>26</v>
      </c>
      <c r="C31" s="38" t="s">
        <v>84</v>
      </c>
      <c r="D31" s="29">
        <v>1</v>
      </c>
      <c r="E31" s="31" t="s">
        <v>27</v>
      </c>
      <c r="F31" s="32" t="s">
        <v>28</v>
      </c>
      <c r="G31" s="29">
        <v>4800</v>
      </c>
      <c r="H31" s="29" t="s">
        <v>20</v>
      </c>
      <c r="I31" s="29">
        <v>1750</v>
      </c>
      <c r="J31" s="29" t="s">
        <v>20</v>
      </c>
      <c r="K31" s="29">
        <v>1500</v>
      </c>
      <c r="L31" s="42">
        <v>737</v>
      </c>
      <c r="M31" s="42">
        <v>387</v>
      </c>
      <c r="N31" s="34">
        <f t="shared" si="0"/>
        <v>12.6</v>
      </c>
      <c r="O31" s="47">
        <f t="shared" si="1"/>
        <v>12.6</v>
      </c>
      <c r="P31" s="68">
        <f t="shared" si="2"/>
        <v>350</v>
      </c>
      <c r="Q31" s="75" t="s">
        <v>85</v>
      </c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</row>
    <row r="32" spans="1:256" ht="49.95" customHeight="1" x14ac:dyDescent="0.3">
      <c r="A32" s="29">
        <v>22</v>
      </c>
      <c r="B32" s="29" t="s">
        <v>26</v>
      </c>
      <c r="C32" s="38" t="s">
        <v>86</v>
      </c>
      <c r="D32" s="29">
        <v>1</v>
      </c>
      <c r="E32" s="31" t="s">
        <v>27</v>
      </c>
      <c r="F32" s="32" t="s">
        <v>28</v>
      </c>
      <c r="G32" s="29">
        <v>4800</v>
      </c>
      <c r="H32" s="29" t="s">
        <v>20</v>
      </c>
      <c r="I32" s="29">
        <v>1500</v>
      </c>
      <c r="J32" s="29" t="s">
        <v>20</v>
      </c>
      <c r="K32" s="29">
        <v>1500</v>
      </c>
      <c r="L32" s="42">
        <v>611</v>
      </c>
      <c r="M32" s="42">
        <v>261</v>
      </c>
      <c r="N32" s="34">
        <f t="shared" si="0"/>
        <v>10.8</v>
      </c>
      <c r="O32" s="47">
        <f t="shared" si="1"/>
        <v>10.8</v>
      </c>
      <c r="P32" s="68">
        <f t="shared" si="2"/>
        <v>350</v>
      </c>
      <c r="Q32" s="75" t="s">
        <v>87</v>
      </c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</row>
    <row r="33" spans="1:256" ht="49.95" customHeight="1" x14ac:dyDescent="0.3">
      <c r="A33" s="29">
        <v>23</v>
      </c>
      <c r="B33" s="29" t="s">
        <v>26</v>
      </c>
      <c r="C33" s="38" t="s">
        <v>38</v>
      </c>
      <c r="D33" s="29">
        <v>1</v>
      </c>
      <c r="E33" s="31" t="s">
        <v>27</v>
      </c>
      <c r="F33" s="32" t="s">
        <v>39</v>
      </c>
      <c r="G33" s="29">
        <v>6500</v>
      </c>
      <c r="H33" s="29" t="s">
        <v>20</v>
      </c>
      <c r="I33" s="29">
        <v>1100</v>
      </c>
      <c r="J33" s="29" t="s">
        <v>20</v>
      </c>
      <c r="K33" s="29">
        <v>2350</v>
      </c>
      <c r="L33" s="42">
        <v>4102</v>
      </c>
      <c r="M33" s="42">
        <v>3802</v>
      </c>
      <c r="N33" s="34">
        <f t="shared" si="0"/>
        <v>16.802499999999998</v>
      </c>
      <c r="O33" s="47">
        <f t="shared" si="1"/>
        <v>16.802499999999998</v>
      </c>
      <c r="P33" s="68">
        <f t="shared" si="2"/>
        <v>300</v>
      </c>
      <c r="Q33" s="75" t="s">
        <v>88</v>
      </c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</row>
    <row r="34" spans="1:256" ht="49.95" customHeight="1" x14ac:dyDescent="0.3">
      <c r="A34" s="29">
        <v>24</v>
      </c>
      <c r="B34" s="29" t="s">
        <v>26</v>
      </c>
      <c r="C34" s="38" t="s">
        <v>40</v>
      </c>
      <c r="D34" s="29">
        <v>1</v>
      </c>
      <c r="E34" s="31" t="s">
        <v>27</v>
      </c>
      <c r="F34" s="32" t="s">
        <v>39</v>
      </c>
      <c r="G34" s="29">
        <v>4300</v>
      </c>
      <c r="H34" s="29" t="s">
        <v>20</v>
      </c>
      <c r="I34" s="29">
        <v>900</v>
      </c>
      <c r="J34" s="29" t="s">
        <v>20</v>
      </c>
      <c r="K34" s="29">
        <v>2400</v>
      </c>
      <c r="L34" s="42">
        <v>438</v>
      </c>
      <c r="M34" s="42">
        <v>238</v>
      </c>
      <c r="N34" s="34">
        <f t="shared" si="0"/>
        <v>9.2880000000000003</v>
      </c>
      <c r="O34" s="47">
        <f t="shared" si="1"/>
        <v>9.2880000000000003</v>
      </c>
      <c r="P34" s="68">
        <f t="shared" si="2"/>
        <v>200</v>
      </c>
      <c r="Q34" s="75" t="s">
        <v>89</v>
      </c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</row>
    <row r="35" spans="1:256" ht="49.95" customHeight="1" x14ac:dyDescent="0.3">
      <c r="A35" s="29">
        <v>25</v>
      </c>
      <c r="B35" s="39" t="s">
        <v>26</v>
      </c>
      <c r="C35" s="38" t="s">
        <v>41</v>
      </c>
      <c r="D35" s="39">
        <v>1</v>
      </c>
      <c r="E35" s="40" t="s">
        <v>27</v>
      </c>
      <c r="F35" s="41" t="s">
        <v>28</v>
      </c>
      <c r="G35" s="39">
        <v>4300</v>
      </c>
      <c r="H35" s="39" t="s">
        <v>20</v>
      </c>
      <c r="I35" s="39">
        <v>1850</v>
      </c>
      <c r="J35" s="39" t="s">
        <v>20</v>
      </c>
      <c r="K35" s="39">
        <v>1200</v>
      </c>
      <c r="L35" s="42">
        <v>1153</v>
      </c>
      <c r="M35" s="42">
        <v>853</v>
      </c>
      <c r="N35" s="34">
        <f t="shared" si="0"/>
        <v>9.5459999999999994</v>
      </c>
      <c r="O35" s="47">
        <f t="shared" si="1"/>
        <v>9.5459999999999994</v>
      </c>
      <c r="P35" s="68">
        <f t="shared" si="2"/>
        <v>300</v>
      </c>
      <c r="Q35" s="75" t="s">
        <v>90</v>
      </c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</row>
    <row r="36" spans="1:256" ht="49.95" customHeight="1" x14ac:dyDescent="0.3">
      <c r="A36" s="29">
        <v>26</v>
      </c>
      <c r="B36" s="29">
        <v>5771103</v>
      </c>
      <c r="C36" s="38" t="s">
        <v>42</v>
      </c>
      <c r="D36" s="29">
        <v>1</v>
      </c>
      <c r="E36" s="31" t="s">
        <v>27</v>
      </c>
      <c r="F36" s="32" t="s">
        <v>28</v>
      </c>
      <c r="G36" s="29">
        <v>4800</v>
      </c>
      <c r="H36" s="29" t="s">
        <v>20</v>
      </c>
      <c r="I36" s="29">
        <v>1350</v>
      </c>
      <c r="J36" s="29" t="s">
        <v>20</v>
      </c>
      <c r="K36" s="29">
        <v>1000</v>
      </c>
      <c r="L36" s="71">
        <v>6018</v>
      </c>
      <c r="M36" s="71">
        <v>5718</v>
      </c>
      <c r="N36" s="34">
        <f t="shared" si="0"/>
        <v>6.48</v>
      </c>
      <c r="O36" s="47">
        <f t="shared" si="1"/>
        <v>6.48</v>
      </c>
      <c r="P36" s="68">
        <f t="shared" si="2"/>
        <v>300</v>
      </c>
      <c r="Q36" s="75" t="s">
        <v>91</v>
      </c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</row>
    <row r="37" spans="1:256" ht="49.95" customHeight="1" x14ac:dyDescent="0.3">
      <c r="A37" s="29">
        <v>27</v>
      </c>
      <c r="B37" s="29">
        <v>5771104</v>
      </c>
      <c r="C37" s="38" t="s">
        <v>43</v>
      </c>
      <c r="D37" s="29">
        <v>1</v>
      </c>
      <c r="E37" s="31" t="s">
        <v>27</v>
      </c>
      <c r="F37" s="32" t="s">
        <v>28</v>
      </c>
      <c r="G37" s="29">
        <v>4400</v>
      </c>
      <c r="H37" s="29" t="s">
        <v>20</v>
      </c>
      <c r="I37" s="29">
        <v>1350</v>
      </c>
      <c r="J37" s="29" t="s">
        <v>20</v>
      </c>
      <c r="K37" s="29">
        <v>1000</v>
      </c>
      <c r="L37" s="71">
        <v>5530</v>
      </c>
      <c r="M37" s="71">
        <v>5230</v>
      </c>
      <c r="N37" s="34">
        <f t="shared" si="0"/>
        <v>5.94</v>
      </c>
      <c r="O37" s="47">
        <f t="shared" si="1"/>
        <v>5.94</v>
      </c>
      <c r="P37" s="68">
        <f t="shared" si="2"/>
        <v>300</v>
      </c>
      <c r="Q37" s="75" t="s">
        <v>92</v>
      </c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</row>
    <row r="38" spans="1:256" ht="49.95" customHeight="1" x14ac:dyDescent="0.3">
      <c r="A38" s="29">
        <v>28</v>
      </c>
      <c r="B38" s="29" t="s">
        <v>26</v>
      </c>
      <c r="C38" s="38" t="s">
        <v>44</v>
      </c>
      <c r="D38" s="29">
        <v>1</v>
      </c>
      <c r="E38" s="31" t="s">
        <v>27</v>
      </c>
      <c r="F38" s="32" t="s">
        <v>28</v>
      </c>
      <c r="G38" s="29">
        <v>2800</v>
      </c>
      <c r="H38" s="29" t="s">
        <v>20</v>
      </c>
      <c r="I38" s="29">
        <v>1200</v>
      </c>
      <c r="J38" s="29" t="s">
        <v>20</v>
      </c>
      <c r="K38" s="29">
        <v>600</v>
      </c>
      <c r="L38" s="42">
        <v>1264</v>
      </c>
      <c r="M38" s="42">
        <v>1064</v>
      </c>
      <c r="N38" s="43">
        <f t="shared" si="0"/>
        <v>2.016</v>
      </c>
      <c r="O38" s="47">
        <f t="shared" si="1"/>
        <v>2.016</v>
      </c>
      <c r="P38" s="68">
        <f t="shared" si="2"/>
        <v>200</v>
      </c>
      <c r="Q38" s="75" t="s">
        <v>93</v>
      </c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</row>
    <row r="39" spans="1:256" ht="49.95" customHeight="1" x14ac:dyDescent="0.3">
      <c r="A39" s="29">
        <v>29</v>
      </c>
      <c r="B39" s="29" t="s">
        <v>26</v>
      </c>
      <c r="C39" s="38" t="s">
        <v>94</v>
      </c>
      <c r="D39" s="29">
        <v>1</v>
      </c>
      <c r="E39" s="31" t="s">
        <v>27</v>
      </c>
      <c r="F39" s="32" t="s">
        <v>28</v>
      </c>
      <c r="G39" s="29">
        <v>1500</v>
      </c>
      <c r="H39" s="29" t="s">
        <v>20</v>
      </c>
      <c r="I39" s="29">
        <v>650</v>
      </c>
      <c r="J39" s="29" t="s">
        <v>20</v>
      </c>
      <c r="K39" s="29">
        <v>400</v>
      </c>
      <c r="L39" s="42">
        <v>773</v>
      </c>
      <c r="M39" s="42">
        <v>573</v>
      </c>
      <c r="N39" s="43">
        <f t="shared" si="0"/>
        <v>0.77300000000000002</v>
      </c>
      <c r="O39" s="47">
        <f t="shared" si="1"/>
        <v>0.39</v>
      </c>
      <c r="P39" s="68">
        <f t="shared" si="2"/>
        <v>200</v>
      </c>
      <c r="Q39" s="75" t="s">
        <v>95</v>
      </c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</row>
    <row r="40" spans="1:256" ht="49.95" customHeight="1" x14ac:dyDescent="0.3">
      <c r="A40" s="29">
        <v>30</v>
      </c>
      <c r="B40" s="29" t="s">
        <v>26</v>
      </c>
      <c r="C40" s="38" t="s">
        <v>96</v>
      </c>
      <c r="D40" s="29">
        <v>1</v>
      </c>
      <c r="E40" s="31" t="s">
        <v>27</v>
      </c>
      <c r="F40" s="32" t="s">
        <v>28</v>
      </c>
      <c r="G40" s="29">
        <v>4000</v>
      </c>
      <c r="H40" s="29" t="s">
        <v>20</v>
      </c>
      <c r="I40" s="29">
        <v>1800</v>
      </c>
      <c r="J40" s="29" t="s">
        <v>20</v>
      </c>
      <c r="K40" s="29">
        <v>1500</v>
      </c>
      <c r="L40" s="42">
        <v>841</v>
      </c>
      <c r="M40" s="44">
        <v>541</v>
      </c>
      <c r="N40" s="43">
        <f>IF(O40&gt;=L40/1000,O40,L40/1000)</f>
        <v>10.8</v>
      </c>
      <c r="O40" s="47">
        <f t="shared" si="1"/>
        <v>10.8</v>
      </c>
      <c r="P40" s="68">
        <f t="shared" si="2"/>
        <v>300</v>
      </c>
      <c r="Q40" s="75" t="s">
        <v>97</v>
      </c>
      <c r="R40" s="45"/>
      <c r="S40" s="46"/>
      <c r="T40" s="46"/>
      <c r="U40" s="46"/>
      <c r="V40" s="47"/>
      <c r="W40" s="48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</row>
    <row r="41" spans="1:256" ht="39.450000000000003" customHeight="1" x14ac:dyDescent="0.3">
      <c r="A41" s="78"/>
      <c r="B41" s="49"/>
      <c r="C41" s="49"/>
      <c r="D41" s="49"/>
      <c r="E41" s="49"/>
      <c r="F41" s="49"/>
      <c r="G41" s="49"/>
      <c r="H41" s="49"/>
      <c r="I41" s="49"/>
      <c r="J41" s="49"/>
      <c r="K41" s="50"/>
      <c r="L41" s="53">
        <f>SUM(L11:L40)</f>
        <v>315039</v>
      </c>
      <c r="M41" s="53">
        <f>SUM(M11:M40)</f>
        <v>308502</v>
      </c>
      <c r="N41" s="54">
        <f>SUM(N11:N40)</f>
        <v>622.69936899999993</v>
      </c>
      <c r="P41" s="62"/>
    </row>
    <row r="42" spans="1:256" x14ac:dyDescent="0.3">
      <c r="P42" s="62"/>
    </row>
    <row r="43" spans="1:256" x14ac:dyDescent="0.3">
      <c r="P43" s="62"/>
    </row>
    <row r="44" spans="1:256" x14ac:dyDescent="0.3">
      <c r="P44" s="62"/>
    </row>
    <row r="45" spans="1:256" x14ac:dyDescent="0.3">
      <c r="P45" s="62"/>
    </row>
    <row r="46" spans="1:256" x14ac:dyDescent="0.3">
      <c r="P46" s="62"/>
    </row>
    <row r="47" spans="1:256" x14ac:dyDescent="0.3">
      <c r="P47" s="62"/>
    </row>
    <row r="48" spans="1:256" x14ac:dyDescent="0.3">
      <c r="P48" s="62"/>
    </row>
    <row r="49" spans="16:16" x14ac:dyDescent="0.3">
      <c r="P49" s="62"/>
    </row>
    <row r="50" spans="16:16" x14ac:dyDescent="0.3">
      <c r="P50" s="62"/>
    </row>
    <row r="51" spans="16:16" x14ac:dyDescent="0.3">
      <c r="P51" s="62"/>
    </row>
    <row r="52" spans="16:16" x14ac:dyDescent="0.3">
      <c r="P52" s="62"/>
    </row>
    <row r="53" spans="16:16" x14ac:dyDescent="0.3">
      <c r="P53" s="62"/>
    </row>
    <row r="54" spans="16:16" x14ac:dyDescent="0.3">
      <c r="P54" s="62"/>
    </row>
    <row r="55" spans="16:16" x14ac:dyDescent="0.3">
      <c r="P55" s="62"/>
    </row>
    <row r="56" spans="16:16" x14ac:dyDescent="0.3">
      <c r="P56" s="62"/>
    </row>
    <row r="57" spans="16:16" x14ac:dyDescent="0.3">
      <c r="P57" s="62"/>
    </row>
  </sheetData>
  <mergeCells count="1">
    <mergeCell ref="G10:K10"/>
  </mergeCells>
  <printOptions horizontalCentered="1"/>
  <pageMargins left="0.39370078740157483" right="0.39370078740157483" top="0.39370078740157483" bottom="0" header="0" footer="0"/>
  <pageSetup paperSize="9" scale="57" orientation="landscape" r:id="rId1"/>
  <headerFooter>
    <oddFooter>&amp;L&amp;1#&amp;"Calibri"&amp;10&amp;K737373Caterpillar: Confidential Green</oddFooter>
  </headerFooter>
  <rowBreaks count="2" manualBreakCount="2">
    <brk id="23" max="13" man="1"/>
    <brk id="37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E1F4-F9AA-4148-AB0B-4E166302F7B2}">
  <sheetPr>
    <pageSetUpPr fitToPage="1"/>
  </sheetPr>
  <dimension ref="A1:H40"/>
  <sheetViews>
    <sheetView showGridLines="0" view="pageBreakPreview" zoomScale="25" zoomScaleNormal="25" zoomScaleSheetLayoutView="25" workbookViewId="0">
      <pane ySplit="2" topLeftCell="A3" activePane="bottomLeft" state="frozen"/>
      <selection pane="bottomLeft" activeCell="L19" sqref="L19"/>
    </sheetView>
  </sheetViews>
  <sheetFormatPr defaultColWidth="8.77734375" defaultRowHeight="13.8" x14ac:dyDescent="0.25"/>
  <cols>
    <col min="1" max="1" width="38.77734375" style="1" customWidth="1"/>
    <col min="2" max="2" width="44.77734375" style="1" customWidth="1"/>
    <col min="3" max="3" width="51.5546875" style="1" customWidth="1"/>
    <col min="4" max="4" width="17.21875" style="1" customWidth="1"/>
    <col min="5" max="5" width="12.5546875" style="1" bestFit="1" customWidth="1"/>
    <col min="6" max="6" width="32.77734375" style="1" customWidth="1"/>
    <col min="7" max="7" width="29.21875" style="1" bestFit="1" customWidth="1"/>
    <col min="8" max="8" width="47.77734375" style="1" customWidth="1"/>
    <col min="9" max="9" width="9.44140625" style="1" customWidth="1"/>
    <col min="10" max="10" width="1.21875" style="1" customWidth="1"/>
    <col min="11" max="12" width="68.44140625" style="1" customWidth="1"/>
    <col min="13" max="16384" width="8.77734375" style="1"/>
  </cols>
  <sheetData>
    <row r="1" spans="1:8" ht="28.05" customHeight="1" x14ac:dyDescent="0.25">
      <c r="A1" s="2" t="s">
        <v>98</v>
      </c>
      <c r="B1" s="2" t="s">
        <v>99</v>
      </c>
      <c r="C1" s="2" t="s">
        <v>100</v>
      </c>
      <c r="D1" s="2" t="s">
        <v>101</v>
      </c>
      <c r="E1" s="207" t="s">
        <v>102</v>
      </c>
      <c r="F1" s="208"/>
      <c r="G1" s="2" t="s">
        <v>103</v>
      </c>
      <c r="H1" s="90" t="s">
        <v>146</v>
      </c>
    </row>
    <row r="2" spans="1:8" s="87" customFormat="1" ht="112.95" customHeight="1" x14ac:dyDescent="0.4">
      <c r="A2" s="84" t="s">
        <v>104</v>
      </c>
      <c r="B2" s="85" t="s">
        <v>159</v>
      </c>
      <c r="C2" s="85" t="s">
        <v>140</v>
      </c>
      <c r="D2" s="84" t="s">
        <v>157</v>
      </c>
      <c r="E2" s="209" t="s">
        <v>158</v>
      </c>
      <c r="F2" s="210"/>
      <c r="G2" s="86" t="s">
        <v>105</v>
      </c>
      <c r="H2" s="91" t="s">
        <v>169</v>
      </c>
    </row>
    <row r="39" spans="2:5" ht="15" customHeight="1" x14ac:dyDescent="0.25"/>
    <row r="40" spans="2:5" s="3" customFormat="1" ht="21" customHeight="1" x14ac:dyDescent="0.4">
      <c r="B40" s="81"/>
      <c r="C40" s="81"/>
      <c r="D40" s="80"/>
      <c r="E40" s="79"/>
    </row>
  </sheetData>
  <sortState xmlns:xlrd2="http://schemas.microsoft.com/office/spreadsheetml/2017/richdata2" ref="A69">
    <sortCondition sortBy="cellColor" ref="A69:A70"/>
  </sortState>
  <mergeCells count="2">
    <mergeCell ref="E1:F1"/>
    <mergeCell ref="E2:F2"/>
  </mergeCells>
  <printOptions horizontalCentered="1"/>
  <pageMargins left="0" right="0" top="0" bottom="0" header="0" footer="0"/>
  <pageSetup paperSize="9" scale="50" orientation="landscape" r:id="rId1"/>
  <headerFooter>
    <oddFooter>&amp;L&amp;1#&amp;"Calibri"&amp;10&amp;K737373Caterpillar: Confidential Green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05E6-D86F-458E-8831-31C2EFCFA27B}">
  <dimension ref="B2:J37"/>
  <sheetViews>
    <sheetView showGridLines="0" zoomScale="55" zoomScaleNormal="55" zoomScaleSheetLayoutView="40" workbookViewId="0">
      <selection activeCell="E16" sqref="E16"/>
    </sheetView>
  </sheetViews>
  <sheetFormatPr defaultColWidth="8.77734375" defaultRowHeight="23.4" x14ac:dyDescent="0.45"/>
  <cols>
    <col min="1" max="1" width="4.44140625" style="88" customWidth="1"/>
    <col min="2" max="2" width="28.109375" style="88" bestFit="1" customWidth="1"/>
    <col min="3" max="3" width="15.109375" style="88" bestFit="1" customWidth="1"/>
    <col min="4" max="4" width="24.6640625" style="88" bestFit="1" customWidth="1"/>
    <col min="5" max="5" width="57.33203125" style="88" bestFit="1" customWidth="1"/>
    <col min="6" max="6" width="13.77734375" style="88" bestFit="1" customWidth="1"/>
    <col min="7" max="7" width="44.88671875" style="88" bestFit="1" customWidth="1"/>
    <col min="8" max="8" width="24.21875" style="88" bestFit="1" customWidth="1"/>
    <col min="9" max="9" width="26" style="88" bestFit="1" customWidth="1"/>
    <col min="10" max="10" width="30.77734375" style="88" bestFit="1" customWidth="1"/>
    <col min="11" max="16384" width="8.77734375" style="88"/>
  </cols>
  <sheetData>
    <row r="2" spans="2:10" ht="31.95" customHeight="1" x14ac:dyDescent="0.45">
      <c r="B2" s="92" t="s">
        <v>106</v>
      </c>
      <c r="C2" s="92" t="s">
        <v>107</v>
      </c>
      <c r="D2" s="92" t="s">
        <v>108</v>
      </c>
      <c r="E2" s="92" t="s">
        <v>109</v>
      </c>
      <c r="F2" s="93" t="s">
        <v>110</v>
      </c>
      <c r="G2" s="92" t="s">
        <v>111</v>
      </c>
      <c r="H2" s="92" t="s">
        <v>112</v>
      </c>
      <c r="I2" s="92" t="s">
        <v>141</v>
      </c>
      <c r="J2" s="92" t="s">
        <v>113</v>
      </c>
    </row>
    <row r="3" spans="2:10" ht="31.95" customHeight="1" x14ac:dyDescent="0.45">
      <c r="B3" s="94" t="s">
        <v>114</v>
      </c>
      <c r="C3" s="95" t="s">
        <v>104</v>
      </c>
      <c r="D3" s="89" t="s">
        <v>115</v>
      </c>
      <c r="E3" s="89" t="s">
        <v>116</v>
      </c>
      <c r="F3" s="95" t="s">
        <v>117</v>
      </c>
      <c r="G3" s="95" t="s">
        <v>160</v>
      </c>
      <c r="H3" s="95" t="s">
        <v>159</v>
      </c>
      <c r="I3" s="89"/>
      <c r="J3" s="89" t="s">
        <v>167</v>
      </c>
    </row>
    <row r="4" spans="2:10" ht="31.95" customHeight="1" x14ac:dyDescent="0.45">
      <c r="B4" s="94" t="s">
        <v>118</v>
      </c>
      <c r="C4" s="95">
        <v>6030</v>
      </c>
      <c r="D4" s="95">
        <v>5944236</v>
      </c>
      <c r="E4" s="95" t="s">
        <v>119</v>
      </c>
      <c r="F4" s="95" t="s">
        <v>117</v>
      </c>
      <c r="G4" s="95" t="s">
        <v>161</v>
      </c>
      <c r="H4" s="95" t="s">
        <v>159</v>
      </c>
      <c r="I4" s="89" t="s">
        <v>166</v>
      </c>
      <c r="J4" s="89" t="s">
        <v>142</v>
      </c>
    </row>
    <row r="5" spans="2:10" ht="31.95" customHeight="1" x14ac:dyDescent="0.45">
      <c r="B5" s="96" t="s">
        <v>120</v>
      </c>
      <c r="C5" s="97">
        <v>6030</v>
      </c>
      <c r="D5" s="95">
        <v>5944237</v>
      </c>
      <c r="E5" s="95" t="s">
        <v>121</v>
      </c>
      <c r="F5" s="98" t="s">
        <v>117</v>
      </c>
      <c r="G5" s="98" t="s">
        <v>162</v>
      </c>
      <c r="H5" s="95" t="s">
        <v>159</v>
      </c>
      <c r="I5" s="89"/>
      <c r="J5" s="89" t="s">
        <v>122</v>
      </c>
    </row>
    <row r="6" spans="2:10" ht="31.95" customHeight="1" x14ac:dyDescent="0.45">
      <c r="B6" s="94" t="s">
        <v>123</v>
      </c>
      <c r="C6" s="97">
        <v>6030</v>
      </c>
      <c r="D6" s="95">
        <v>5461606</v>
      </c>
      <c r="E6" s="95" t="s">
        <v>139</v>
      </c>
      <c r="F6" s="95" t="s">
        <v>117</v>
      </c>
      <c r="G6" s="95" t="s">
        <v>160</v>
      </c>
      <c r="H6" s="95" t="s">
        <v>159</v>
      </c>
      <c r="I6" s="89" t="s">
        <v>143</v>
      </c>
      <c r="J6" s="89"/>
    </row>
    <row r="7" spans="2:10" ht="31.95" customHeight="1" x14ac:dyDescent="0.45">
      <c r="B7" s="94" t="s">
        <v>124</v>
      </c>
      <c r="C7" s="97">
        <v>6030</v>
      </c>
      <c r="D7" s="95">
        <v>4689403</v>
      </c>
      <c r="E7" s="95" t="s">
        <v>125</v>
      </c>
      <c r="F7" s="95" t="s">
        <v>117</v>
      </c>
      <c r="G7" s="95" t="s">
        <v>163</v>
      </c>
      <c r="H7" s="95" t="s">
        <v>159</v>
      </c>
      <c r="I7" s="89"/>
      <c r="J7" s="89" t="s">
        <v>144</v>
      </c>
    </row>
    <row r="8" spans="2:10" ht="31.95" customHeight="1" x14ac:dyDescent="0.45">
      <c r="B8" s="96" t="s">
        <v>126</v>
      </c>
      <c r="C8" s="97">
        <v>6030</v>
      </c>
      <c r="D8" s="95">
        <v>6002378</v>
      </c>
      <c r="E8" s="95" t="s">
        <v>127</v>
      </c>
      <c r="F8" s="95" t="s">
        <v>117</v>
      </c>
      <c r="G8" s="95" t="s">
        <v>164</v>
      </c>
      <c r="H8" s="95" t="s">
        <v>159</v>
      </c>
      <c r="I8" s="89"/>
      <c r="J8" s="89" t="s">
        <v>168</v>
      </c>
    </row>
    <row r="9" spans="2:10" ht="31.95" customHeight="1" x14ac:dyDescent="0.45">
      <c r="B9" s="94" t="s">
        <v>128</v>
      </c>
      <c r="C9" s="95">
        <v>6030</v>
      </c>
      <c r="D9" s="95">
        <v>6023478</v>
      </c>
      <c r="E9" s="95" t="s">
        <v>129</v>
      </c>
      <c r="F9" s="95" t="s">
        <v>117</v>
      </c>
      <c r="G9" s="95" t="s">
        <v>164</v>
      </c>
      <c r="H9" s="95" t="s">
        <v>159</v>
      </c>
      <c r="I9" s="89"/>
      <c r="J9" s="89" t="s">
        <v>145</v>
      </c>
    </row>
    <row r="10" spans="2:10" ht="31.95" customHeight="1" x14ac:dyDescent="0.45">
      <c r="B10" s="96" t="s">
        <v>130</v>
      </c>
      <c r="C10" s="97">
        <v>6030</v>
      </c>
      <c r="D10" s="95">
        <v>5461608</v>
      </c>
      <c r="E10" s="95" t="s">
        <v>131</v>
      </c>
      <c r="F10" s="95" t="s">
        <v>117</v>
      </c>
      <c r="G10" s="95" t="s">
        <v>164</v>
      </c>
      <c r="H10" s="95" t="s">
        <v>159</v>
      </c>
      <c r="I10" s="89"/>
      <c r="J10" s="89" t="s">
        <v>145</v>
      </c>
    </row>
    <row r="11" spans="2:10" ht="31.95" customHeight="1" x14ac:dyDescent="0.45">
      <c r="B11" s="96" t="s">
        <v>132</v>
      </c>
      <c r="C11" s="97">
        <v>6030</v>
      </c>
      <c r="D11" s="95">
        <v>5461607</v>
      </c>
      <c r="E11" s="95" t="s">
        <v>133</v>
      </c>
      <c r="F11" s="95" t="s">
        <v>117</v>
      </c>
      <c r="G11" s="95" t="s">
        <v>164</v>
      </c>
      <c r="H11" s="95" t="s">
        <v>159</v>
      </c>
      <c r="I11" s="89"/>
      <c r="J11" s="89" t="s">
        <v>145</v>
      </c>
    </row>
    <row r="12" spans="2:10" ht="31.95" customHeight="1" x14ac:dyDescent="0.45">
      <c r="B12" s="96" t="s">
        <v>134</v>
      </c>
      <c r="C12" s="97">
        <v>6030</v>
      </c>
      <c r="D12" s="95">
        <v>5181737</v>
      </c>
      <c r="E12" s="95" t="s">
        <v>135</v>
      </c>
      <c r="F12" s="95" t="s">
        <v>117</v>
      </c>
      <c r="G12" s="95" t="s">
        <v>165</v>
      </c>
      <c r="H12" s="95" t="s">
        <v>159</v>
      </c>
      <c r="I12" s="89"/>
      <c r="J12" s="89" t="s">
        <v>138</v>
      </c>
    </row>
    <row r="13" spans="2:10" ht="31.95" customHeight="1" x14ac:dyDescent="0.45">
      <c r="B13" s="96" t="s">
        <v>136</v>
      </c>
      <c r="C13" s="97">
        <v>6030</v>
      </c>
      <c r="D13" s="95">
        <v>5181736</v>
      </c>
      <c r="E13" s="95" t="s">
        <v>137</v>
      </c>
      <c r="F13" s="95" t="s">
        <v>117</v>
      </c>
      <c r="G13" s="95" t="s">
        <v>165</v>
      </c>
      <c r="H13" s="95" t="s">
        <v>159</v>
      </c>
      <c r="I13" s="89"/>
      <c r="J13" s="89" t="s">
        <v>138</v>
      </c>
    </row>
    <row r="15" spans="2:10" ht="31.95" customHeight="1" x14ac:dyDescent="0.45"/>
    <row r="16" spans="2:10" ht="31.95" customHeight="1" x14ac:dyDescent="0.45"/>
    <row r="17" ht="31.95" customHeight="1" x14ac:dyDescent="0.45"/>
    <row r="18" ht="31.95" customHeight="1" x14ac:dyDescent="0.45"/>
    <row r="19" ht="31.95" customHeight="1" x14ac:dyDescent="0.45"/>
    <row r="20" ht="31.95" customHeight="1" x14ac:dyDescent="0.45"/>
    <row r="21" ht="31.95" customHeight="1" x14ac:dyDescent="0.45"/>
    <row r="22" ht="31.95" customHeight="1" x14ac:dyDescent="0.45"/>
    <row r="23" ht="31.95" customHeight="1" x14ac:dyDescent="0.45"/>
    <row r="24" ht="31.95" customHeight="1" x14ac:dyDescent="0.45"/>
    <row r="25" ht="31.95" customHeight="1" x14ac:dyDescent="0.45"/>
    <row r="26" ht="31.95" customHeight="1" x14ac:dyDescent="0.45"/>
    <row r="27" ht="31.95" customHeight="1" x14ac:dyDescent="0.45"/>
    <row r="28" ht="31.95" customHeight="1" x14ac:dyDescent="0.45"/>
    <row r="29" ht="31.95" customHeight="1" x14ac:dyDescent="0.45"/>
    <row r="30" ht="31.95" customHeight="1" x14ac:dyDescent="0.45"/>
    <row r="31" ht="31.95" customHeight="1" x14ac:dyDescent="0.45"/>
    <row r="32" ht="31.95" customHeight="1" x14ac:dyDescent="0.45"/>
    <row r="33" ht="31.95" customHeight="1" x14ac:dyDescent="0.45"/>
    <row r="34" ht="31.95" customHeight="1" x14ac:dyDescent="0.45"/>
    <row r="35" ht="31.95" customHeight="1" x14ac:dyDescent="0.45"/>
    <row r="36" ht="31.95" customHeight="1" x14ac:dyDescent="0.45"/>
    <row r="37" ht="31.95" customHeight="1" x14ac:dyDescent="0.45"/>
  </sheetData>
  <conditionalFormatting sqref="F3">
    <cfRule type="containsText" dxfId="0" priority="1" operator="containsText" text="SFG">
      <formula>NOT(ISERROR(SEARCH("SFG",F3)))</formula>
    </cfRule>
  </conditionalFormatting>
  <pageMargins left="0.7" right="0.7" top="0.75" bottom="0.75" header="0.3" footer="0.3"/>
  <pageSetup paperSize="9" scale="3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F7F5010E58504196D777AEBC6E423B" ma:contentTypeVersion="8" ma:contentTypeDescription="Create a new document." ma:contentTypeScope="" ma:versionID="b6f4f93783bb4071bcae901e203c66fb">
  <xsd:schema xmlns:xsd="http://www.w3.org/2001/XMLSchema" xmlns:xs="http://www.w3.org/2001/XMLSchema" xmlns:p="http://schemas.microsoft.com/office/2006/metadata/properties" xmlns:ns2="b3059203-c6f4-4a44-b150-7242b7e3a63b" targetNamespace="http://schemas.microsoft.com/office/2006/metadata/properties" ma:root="true" ma:fieldsID="138fdda90eb303dc08f5e2fd77754937" ns2:_="">
    <xsd:import namespace="b3059203-c6f4-4a44-b150-7242b7e3a6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59203-c6f4-4a44-b150-7242b7e3a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71556C-01AD-4171-BFAB-09753F8CAB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ED3FA0-6839-4112-930B-48384CBAD6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059203-c6f4-4a44-b150-7242b7e3a6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AFB910-140F-471D-91DB-8B1463CACA57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6P300139</vt:lpstr>
      <vt:lpstr>LO.</vt:lpstr>
      <vt:lpstr>Configuration</vt:lpstr>
      <vt:lpstr>Sheet1</vt:lpstr>
      <vt:lpstr>'6P300139'!Print_Area</vt:lpstr>
      <vt:lpstr>Configuration!Print_Area</vt:lpstr>
      <vt:lpstr>LO.!Print_Area</vt:lpstr>
      <vt:lpstr>Sheet1!Print_Area</vt:lpstr>
      <vt:lpstr>'6P300139'!Print_Titles</vt:lpstr>
      <vt:lpstr>LO.!Print_Titles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Fendi Suherianto</dc:creator>
  <cp:keywords/>
  <dc:description/>
  <cp:lastModifiedBy>Jason Ungerer</cp:lastModifiedBy>
  <cp:revision/>
  <cp:lastPrinted>2026-04-01T02:40:58Z</cp:lastPrinted>
  <dcterms:created xsi:type="dcterms:W3CDTF">2022-01-28T06:49:48Z</dcterms:created>
  <dcterms:modified xsi:type="dcterms:W3CDTF">2026-04-30T12:14:12Z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2023-08-15T01:13:32Z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5772965e-9f98-430a-b373-4536cfaefe44</vt:lpwstr>
  </property>
  <property fmtid="{D5CDD505-2E9C-101B-9397-08002B2CF9AE}" pid="8" name="MSIP_Label_fb5e2db6-eecf-4aa2-8fc3-174bf94bce19_ContentBits">
    <vt:lpwstr>2</vt:lpwstr>
  </property>
  <property fmtid="{D5CDD505-2E9C-101B-9397-08002B2CF9AE}" pid="9" name="ContentTypeId">
    <vt:lpwstr>0x010100C4F7F5010E58504196D777AEBC6E423B</vt:lpwstr>
  </property>
</Properties>
</file>